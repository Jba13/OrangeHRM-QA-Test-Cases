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ber\Desktop\"/>
    </mc:Choice>
  </mc:AlternateContent>
  <xr:revisionPtr revIDLastSave="0" documentId="13_ncr:1_{29660FD5-28B6-4040-822F-F0169AF806C1}" xr6:coauthVersionLast="47" xr6:coauthVersionMax="47" xr10:uidLastSave="{00000000-0000-0000-0000-000000000000}"/>
  <bookViews>
    <workbookView xWindow="-108" yWindow="-108" windowWidth="23256" windowHeight="12456" tabRatio="500" firstSheet="1" activeTab="6" xr2:uid="{00000000-000D-0000-FFFF-FFFF00000000}"/>
  </bookViews>
  <sheets>
    <sheet name="Sheet1" sheetId="1" r:id="rId1"/>
    <sheet name="Sheet2" sheetId="2" r:id="rId2"/>
    <sheet name="Exigences" sheetId="3" r:id="rId3"/>
    <sheet name="Scénarios" sheetId="4" r:id="rId4"/>
    <sheet name="Index_CT" sheetId="5" r:id="rId5"/>
    <sheet name="Matrice_Traçabilité" sheetId="6" r:id="rId6"/>
    <sheet name="Couverture" sheetId="7" r:id="rId7"/>
  </sheets>
  <definedNames>
    <definedName name="_xlnm._FilterDatabase" localSheetId="2" hidden="1">Exigences!$A$1:$K$20</definedName>
    <definedName name="_xlnm._FilterDatabase" localSheetId="4" hidden="1">Index_CT!$A$1:$N$36</definedName>
    <definedName name="_xlnm._FilterDatabase" localSheetId="3" hidden="1">Scénarios!$A$1:$J$14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4" i="7" l="1"/>
  <c r="B23" i="7"/>
  <c r="B22" i="7"/>
  <c r="B21" i="7"/>
  <c r="B20" i="7"/>
  <c r="B19" i="7"/>
  <c r="B25" i="7" s="1"/>
  <c r="B15" i="7"/>
  <c r="B14" i="7"/>
  <c r="B13" i="7"/>
  <c r="B12" i="7"/>
  <c r="B11" i="7"/>
  <c r="B10" i="7"/>
  <c r="B6" i="7"/>
  <c r="B5" i="7"/>
  <c r="B4" i="7"/>
  <c r="B7" i="7" s="1"/>
  <c r="BR38" i="6"/>
  <c r="BQ38" i="6"/>
  <c r="BP38" i="6"/>
  <c r="BO38" i="6"/>
  <c r="BN38" i="6"/>
  <c r="BM38" i="6"/>
  <c r="BL38" i="6"/>
  <c r="BK38" i="6"/>
  <c r="BJ38" i="6"/>
  <c r="BI38" i="6"/>
  <c r="BH38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BR37" i="6"/>
  <c r="BQ37" i="6"/>
  <c r="BP37" i="6"/>
  <c r="BO37" i="6"/>
  <c r="BN37" i="6"/>
  <c r="BM37" i="6"/>
  <c r="BL37" i="6"/>
  <c r="BK37" i="6"/>
  <c r="BJ37" i="6"/>
  <c r="BI37" i="6"/>
  <c r="BH37" i="6"/>
  <c r="BG37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BR36" i="6"/>
  <c r="BQ36" i="6"/>
  <c r="BP36" i="6"/>
  <c r="BO36" i="6"/>
  <c r="BN36" i="6"/>
  <c r="BM36" i="6"/>
  <c r="BL36" i="6"/>
  <c r="BK36" i="6"/>
  <c r="BJ36" i="6"/>
  <c r="BI36" i="6"/>
  <c r="BH36" i="6"/>
  <c r="BG36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 s="1"/>
  <c r="BR35" i="6"/>
  <c r="BQ35" i="6"/>
  <c r="BP35" i="6"/>
  <c r="BO35" i="6"/>
  <c r="BN35" i="6"/>
  <c r="BM35" i="6"/>
  <c r="BL35" i="6"/>
  <c r="BK35" i="6"/>
  <c r="BJ35" i="6"/>
  <c r="BI35" i="6"/>
  <c r="BH35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 s="1"/>
  <c r="BR34" i="6"/>
  <c r="BQ34" i="6"/>
  <c r="BP34" i="6"/>
  <c r="BO34" i="6"/>
  <c r="BN34" i="6"/>
  <c r="BM34" i="6"/>
  <c r="BL34" i="6"/>
  <c r="BK34" i="6"/>
  <c r="BJ34" i="6"/>
  <c r="BI34" i="6"/>
  <c r="BH34" i="6"/>
  <c r="BG34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D34" i="6" s="1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BR33" i="6"/>
  <c r="BQ33" i="6"/>
  <c r="BP33" i="6"/>
  <c r="BO33" i="6"/>
  <c r="BN33" i="6"/>
  <c r="BM33" i="6"/>
  <c r="BL33" i="6"/>
  <c r="BK33" i="6"/>
  <c r="BJ33" i="6"/>
  <c r="BI33" i="6"/>
  <c r="BH33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BR32" i="6"/>
  <c r="BQ32" i="6"/>
  <c r="BP32" i="6"/>
  <c r="BO32" i="6"/>
  <c r="BN32" i="6"/>
  <c r="BM32" i="6"/>
  <c r="BL32" i="6"/>
  <c r="BK32" i="6"/>
  <c r="BJ32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BR31" i="6"/>
  <c r="BQ31" i="6"/>
  <c r="BP31" i="6"/>
  <c r="BO31" i="6"/>
  <c r="BN31" i="6"/>
  <c r="BM31" i="6"/>
  <c r="BL31" i="6"/>
  <c r="BK31" i="6"/>
  <c r="BJ31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BR30" i="6"/>
  <c r="BQ30" i="6"/>
  <c r="BP30" i="6"/>
  <c r="BO30" i="6"/>
  <c r="BN30" i="6"/>
  <c r="BM30" i="6"/>
  <c r="BL30" i="6"/>
  <c r="BK30" i="6"/>
  <c r="BJ30" i="6"/>
  <c r="BI30" i="6"/>
  <c r="BH30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BR29" i="6"/>
  <c r="BQ29" i="6"/>
  <c r="BP29" i="6"/>
  <c r="BO29" i="6"/>
  <c r="BN29" i="6"/>
  <c r="BM29" i="6"/>
  <c r="BL29" i="6"/>
  <c r="BK29" i="6"/>
  <c r="BJ29" i="6"/>
  <c r="BI29" i="6"/>
  <c r="BH29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BR28" i="6"/>
  <c r="BQ28" i="6"/>
  <c r="BP28" i="6"/>
  <c r="BO28" i="6"/>
  <c r="BN28" i="6"/>
  <c r="BM28" i="6"/>
  <c r="BL28" i="6"/>
  <c r="BK28" i="6"/>
  <c r="BJ28" i="6"/>
  <c r="BI28" i="6"/>
  <c r="BH28" i="6"/>
  <c r="BG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BR27" i="6"/>
  <c r="BQ27" i="6"/>
  <c r="BP27" i="6"/>
  <c r="BO27" i="6"/>
  <c r="BN27" i="6"/>
  <c r="BM27" i="6"/>
  <c r="BL27" i="6"/>
  <c r="BK27" i="6"/>
  <c r="BJ27" i="6"/>
  <c r="BI27" i="6"/>
  <c r="BH27" i="6"/>
  <c r="BG27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BR26" i="6"/>
  <c r="BQ26" i="6"/>
  <c r="BP26" i="6"/>
  <c r="BO26" i="6"/>
  <c r="BN26" i="6"/>
  <c r="BM26" i="6"/>
  <c r="BL26" i="6"/>
  <c r="BK26" i="6"/>
  <c r="BJ26" i="6"/>
  <c r="BI26" i="6"/>
  <c r="BH26" i="6"/>
  <c r="BG26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BR25" i="6"/>
  <c r="BQ25" i="6"/>
  <c r="BP25" i="6"/>
  <c r="BO25" i="6"/>
  <c r="BN25" i="6"/>
  <c r="BM25" i="6"/>
  <c r="BL25" i="6"/>
  <c r="BK25" i="6"/>
  <c r="BJ25" i="6"/>
  <c r="BI25" i="6"/>
  <c r="BH25" i="6"/>
  <c r="BG25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BR24" i="6"/>
  <c r="BQ24" i="6"/>
  <c r="BP24" i="6"/>
  <c r="BO24" i="6"/>
  <c r="BN24" i="6"/>
  <c r="BM24" i="6"/>
  <c r="BL24" i="6"/>
  <c r="BK24" i="6"/>
  <c r="BJ24" i="6"/>
  <c r="BI24" i="6"/>
  <c r="BH24" i="6"/>
  <c r="BG24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D24" i="6" s="1"/>
  <c r="L24" i="6"/>
  <c r="K24" i="6"/>
  <c r="J24" i="6"/>
  <c r="I24" i="6"/>
  <c r="H24" i="6"/>
  <c r="G24" i="6"/>
  <c r="F24" i="6"/>
  <c r="E24" i="6"/>
  <c r="BR23" i="6"/>
  <c r="BQ23" i="6"/>
  <c r="BP23" i="6"/>
  <c r="BO23" i="6"/>
  <c r="BN23" i="6"/>
  <c r="BM23" i="6"/>
  <c r="BL23" i="6"/>
  <c r="BK23" i="6"/>
  <c r="BJ23" i="6"/>
  <c r="BI23" i="6"/>
  <c r="BH23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BR22" i="6"/>
  <c r="BQ22" i="6"/>
  <c r="BP22" i="6"/>
  <c r="BO22" i="6"/>
  <c r="BN22" i="6"/>
  <c r="BM22" i="6"/>
  <c r="BL22" i="6"/>
  <c r="BK22" i="6"/>
  <c r="BJ22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BR21" i="6"/>
  <c r="BQ21" i="6"/>
  <c r="BP21" i="6"/>
  <c r="BO21" i="6"/>
  <c r="BN21" i="6"/>
  <c r="BM21" i="6"/>
  <c r="BL21" i="6"/>
  <c r="BK21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BR20" i="6"/>
  <c r="BQ20" i="6"/>
  <c r="BP20" i="6"/>
  <c r="BO20" i="6"/>
  <c r="BN20" i="6"/>
  <c r="BM20" i="6"/>
  <c r="BL20" i="6"/>
  <c r="BK20" i="6"/>
  <c r="BJ20" i="6"/>
  <c r="BI20" i="6"/>
  <c r="BH20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 s="1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D19" i="6" s="1"/>
  <c r="F19" i="6"/>
  <c r="E19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BR16" i="6"/>
  <c r="BQ16" i="6"/>
  <c r="BP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 s="1"/>
  <c r="BR13" i="6"/>
  <c r="BQ13" i="6"/>
  <c r="BP13" i="6"/>
  <c r="D13" i="6" s="1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BR12" i="6"/>
  <c r="BQ12" i="6"/>
  <c r="BP12" i="6"/>
  <c r="BO12" i="6"/>
  <c r="BN12" i="6"/>
  <c r="BM12" i="6"/>
  <c r="BL12" i="6"/>
  <c r="BK12" i="6"/>
  <c r="BJ12" i="6"/>
  <c r="BI12" i="6"/>
  <c r="BH12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BR11" i="6"/>
  <c r="BQ11" i="6"/>
  <c r="BP11" i="6"/>
  <c r="BO11" i="6"/>
  <c r="BN11" i="6"/>
  <c r="BM11" i="6"/>
  <c r="BL11" i="6"/>
  <c r="BK11" i="6"/>
  <c r="BJ11" i="6"/>
  <c r="BI11" i="6"/>
  <c r="BH11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BR10" i="6"/>
  <c r="BQ10" i="6"/>
  <c r="BP10" i="6"/>
  <c r="BO10" i="6"/>
  <c r="BN10" i="6"/>
  <c r="BM10" i="6"/>
  <c r="BL10" i="6"/>
  <c r="BK10" i="6"/>
  <c r="BJ10" i="6"/>
  <c r="BI10" i="6"/>
  <c r="BH10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BR9" i="6"/>
  <c r="BQ9" i="6"/>
  <c r="BP9" i="6"/>
  <c r="BO9" i="6"/>
  <c r="BN9" i="6"/>
  <c r="BM9" i="6"/>
  <c r="BL9" i="6"/>
  <c r="BK9" i="6"/>
  <c r="BJ9" i="6"/>
  <c r="BI9" i="6"/>
  <c r="BH9" i="6"/>
  <c r="BG9" i="6"/>
  <c r="BF9" i="6"/>
  <c r="BE9" i="6"/>
  <c r="BD9" i="6"/>
  <c r="BC9" i="6"/>
  <c r="BB9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BR8" i="6"/>
  <c r="BQ8" i="6"/>
  <c r="BP8" i="6"/>
  <c r="BO8" i="6"/>
  <c r="BN8" i="6"/>
  <c r="BM8" i="6"/>
  <c r="BL8" i="6"/>
  <c r="BK8" i="6"/>
  <c r="BJ8" i="6"/>
  <c r="BI8" i="6"/>
  <c r="BH8" i="6"/>
  <c r="BG8" i="6"/>
  <c r="BF8" i="6"/>
  <c r="BE8" i="6"/>
  <c r="BD8" i="6"/>
  <c r="BC8" i="6"/>
  <c r="BB8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 s="1"/>
  <c r="BR7" i="6"/>
  <c r="BQ7" i="6"/>
  <c r="BP7" i="6"/>
  <c r="BO7" i="6"/>
  <c r="BN7" i="6"/>
  <c r="BM7" i="6"/>
  <c r="BL7" i="6"/>
  <c r="BK7" i="6"/>
  <c r="BJ7" i="6"/>
  <c r="BI7" i="6"/>
  <c r="BH7" i="6"/>
  <c r="BG7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BR6" i="6"/>
  <c r="BQ6" i="6"/>
  <c r="BP6" i="6"/>
  <c r="BO6" i="6"/>
  <c r="BN6" i="6"/>
  <c r="BM6" i="6"/>
  <c r="BL6" i="6"/>
  <c r="BK6" i="6"/>
  <c r="BJ6" i="6"/>
  <c r="BI6" i="6"/>
  <c r="BH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 s="1"/>
  <c r="BR5" i="6"/>
  <c r="BQ5" i="6"/>
  <c r="BP5" i="6"/>
  <c r="BO5" i="6"/>
  <c r="BN5" i="6"/>
  <c r="BM5" i="6"/>
  <c r="BL5" i="6"/>
  <c r="BK5" i="6"/>
  <c r="BJ5" i="6"/>
  <c r="BI5" i="6"/>
  <c r="BH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 s="1"/>
  <c r="BR4" i="6"/>
  <c r="BQ4" i="6"/>
  <c r="BP4" i="6"/>
  <c r="BO4" i="6"/>
  <c r="BN4" i="6"/>
  <c r="BM4" i="6"/>
  <c r="BL4" i="6"/>
  <c r="BK4" i="6"/>
  <c r="BJ4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BR2" i="6"/>
  <c r="BQ2" i="6"/>
  <c r="BP2" i="6"/>
  <c r="BO2" i="6"/>
  <c r="BN2" i="6"/>
  <c r="BM2" i="6"/>
  <c r="BL2" i="6"/>
  <c r="BK2" i="6"/>
  <c r="BJ2" i="6"/>
  <c r="BI2" i="6"/>
  <c r="BH2" i="6"/>
  <c r="BG2" i="6"/>
  <c r="BF2" i="6"/>
  <c r="BE2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N36" i="5"/>
  <c r="K36" i="5"/>
  <c r="J36" i="5"/>
  <c r="N35" i="5"/>
  <c r="K35" i="5"/>
  <c r="J35" i="5"/>
  <c r="N34" i="5"/>
  <c r="K34" i="5"/>
  <c r="J34" i="5"/>
  <c r="N33" i="5"/>
  <c r="K33" i="5"/>
  <c r="J33" i="5"/>
  <c r="N32" i="5"/>
  <c r="K32" i="5"/>
  <c r="J32" i="5"/>
  <c r="N31" i="5"/>
  <c r="K31" i="5"/>
  <c r="J31" i="5"/>
  <c r="N30" i="5"/>
  <c r="K30" i="5"/>
  <c r="J30" i="5"/>
  <c r="N29" i="5"/>
  <c r="K29" i="5"/>
  <c r="J29" i="5"/>
  <c r="N28" i="5"/>
  <c r="K28" i="5"/>
  <c r="J28" i="5"/>
  <c r="N27" i="5"/>
  <c r="K27" i="5"/>
  <c r="J27" i="5"/>
  <c r="N26" i="5"/>
  <c r="K26" i="5"/>
  <c r="J26" i="5"/>
  <c r="N25" i="5"/>
  <c r="K25" i="5"/>
  <c r="J25" i="5"/>
  <c r="N24" i="5"/>
  <c r="K24" i="5"/>
  <c r="J24" i="5"/>
  <c r="N23" i="5"/>
  <c r="K23" i="5"/>
  <c r="J23" i="5"/>
  <c r="N22" i="5"/>
  <c r="K22" i="5"/>
  <c r="J22" i="5"/>
  <c r="N21" i="5"/>
  <c r="K21" i="5"/>
  <c r="J21" i="5"/>
  <c r="N20" i="5"/>
  <c r="K20" i="5"/>
  <c r="J20" i="5"/>
  <c r="N19" i="5"/>
  <c r="K19" i="5"/>
  <c r="J19" i="5"/>
  <c r="N18" i="5"/>
  <c r="K18" i="5"/>
  <c r="J18" i="5"/>
  <c r="N17" i="5"/>
  <c r="K17" i="5"/>
  <c r="J17" i="5"/>
  <c r="N16" i="5"/>
  <c r="K16" i="5"/>
  <c r="J16" i="5"/>
  <c r="N15" i="5"/>
  <c r="K15" i="5"/>
  <c r="J15" i="5"/>
  <c r="N14" i="5"/>
  <c r="K14" i="5"/>
  <c r="J14" i="5"/>
  <c r="N13" i="5"/>
  <c r="K13" i="5"/>
  <c r="J13" i="5"/>
  <c r="N12" i="5"/>
  <c r="K12" i="5"/>
  <c r="J12" i="5"/>
  <c r="N11" i="5"/>
  <c r="K11" i="5"/>
  <c r="J11" i="5"/>
  <c r="N10" i="5"/>
  <c r="K10" i="5"/>
  <c r="J10" i="5"/>
  <c r="N9" i="5"/>
  <c r="K9" i="5"/>
  <c r="J9" i="5"/>
  <c r="N8" i="5"/>
  <c r="K8" i="5"/>
  <c r="J8" i="5"/>
  <c r="N7" i="5"/>
  <c r="K7" i="5"/>
  <c r="J7" i="5"/>
  <c r="N6" i="5"/>
  <c r="K6" i="5"/>
  <c r="J6" i="5"/>
  <c r="N5" i="5"/>
  <c r="K5" i="5"/>
  <c r="J5" i="5"/>
  <c r="N4" i="5"/>
  <c r="K4" i="5"/>
  <c r="J4" i="5"/>
  <c r="N3" i="5"/>
  <c r="K3" i="5"/>
  <c r="J3" i="5"/>
  <c r="N2" i="5"/>
  <c r="K2" i="5"/>
  <c r="J2" i="5"/>
  <c r="I14" i="4"/>
  <c r="I13" i="4"/>
  <c r="I12" i="4"/>
  <c r="I11" i="4"/>
  <c r="I10" i="4"/>
  <c r="I9" i="4"/>
  <c r="I8" i="4"/>
  <c r="I7" i="4"/>
  <c r="I6" i="4"/>
  <c r="I5" i="4"/>
  <c r="I4" i="4"/>
  <c r="I3" i="4"/>
  <c r="I2" i="4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  <c r="B16" i="7" l="1"/>
  <c r="D29" i="6"/>
  <c r="I10" i="3"/>
  <c r="I5" i="3"/>
  <c r="I4" i="3"/>
  <c r="T39" i="6"/>
  <c r="P39" i="6"/>
  <c r="L39" i="6"/>
  <c r="J39" i="6"/>
  <c r="G39" i="6"/>
  <c r="BQ39" i="6"/>
  <c r="BN39" i="6"/>
  <c r="BJ39" i="6"/>
  <c r="BG39" i="6"/>
  <c r="BE39" i="6"/>
  <c r="BA39" i="6"/>
  <c r="AW39" i="6"/>
  <c r="AT39" i="6"/>
  <c r="AR39" i="6"/>
  <c r="AN39" i="6"/>
  <c r="AJ39" i="6"/>
  <c r="AI39" i="6"/>
  <c r="AE39" i="6"/>
  <c r="AA39" i="6"/>
  <c r="X39" i="6"/>
  <c r="I20" i="3"/>
  <c r="I16" i="3"/>
  <c r="I15" i="3"/>
  <c r="I11" i="3"/>
  <c r="I7" i="3"/>
  <c r="D23" i="6"/>
  <c r="V39" i="6"/>
  <c r="R39" i="6"/>
  <c r="N39" i="6"/>
  <c r="H39" i="6"/>
  <c r="BR39" i="6"/>
  <c r="BM39" i="6"/>
  <c r="BI39" i="6"/>
  <c r="BC39" i="6"/>
  <c r="AY39" i="6"/>
  <c r="AU39" i="6"/>
  <c r="AP39" i="6"/>
  <c r="AK39" i="6"/>
  <c r="AF39" i="6"/>
  <c r="AB39" i="6"/>
  <c r="I19" i="3"/>
  <c r="I14" i="3"/>
  <c r="I8" i="3"/>
  <c r="D18" i="6"/>
  <c r="S39" i="6"/>
  <c r="O39" i="6"/>
  <c r="K39" i="6"/>
  <c r="F39" i="6"/>
  <c r="BP39" i="6"/>
  <c r="BL39" i="6"/>
  <c r="BH39" i="6"/>
  <c r="BD39" i="6"/>
  <c r="AZ39" i="6"/>
  <c r="AV39" i="6"/>
  <c r="AQ39" i="6"/>
  <c r="AM39" i="6"/>
  <c r="AG39" i="6"/>
  <c r="AC39" i="6"/>
  <c r="Y39" i="6"/>
  <c r="I18" i="3"/>
  <c r="I13" i="3"/>
  <c r="I6" i="3"/>
  <c r="D12" i="6"/>
  <c r="U39" i="6"/>
  <c r="Q39" i="6"/>
  <c r="M39" i="6"/>
  <c r="I39" i="6"/>
  <c r="E39" i="6"/>
  <c r="BO39" i="6"/>
  <c r="BK39" i="6"/>
  <c r="BF39" i="6"/>
  <c r="BB39" i="6"/>
  <c r="AX39" i="6"/>
  <c r="AS39" i="6"/>
  <c r="AO39" i="6"/>
  <c r="AL39" i="6"/>
  <c r="AH39" i="6"/>
  <c r="AD39" i="6"/>
  <c r="Z39" i="6"/>
  <c r="I17" i="3"/>
  <c r="I12" i="3"/>
  <c r="I9" i="3"/>
  <c r="I3" i="3"/>
  <c r="W39" i="6"/>
  <c r="D7" i="6"/>
  <c r="L36" i="5"/>
  <c r="M36" i="5"/>
  <c r="M35" i="5"/>
  <c r="L35" i="5"/>
  <c r="M34" i="5"/>
  <c r="L34" i="5"/>
  <c r="M33" i="5"/>
  <c r="L33" i="5"/>
  <c r="M32" i="5"/>
  <c r="L32" i="5"/>
  <c r="M31" i="5"/>
  <c r="L31" i="5"/>
  <c r="L30" i="5"/>
  <c r="M30" i="5"/>
  <c r="L29" i="5"/>
  <c r="M29" i="5"/>
  <c r="M28" i="5"/>
  <c r="L28" i="5"/>
  <c r="L27" i="5"/>
  <c r="M27" i="5"/>
  <c r="M26" i="5"/>
  <c r="L26" i="5"/>
  <c r="M25" i="5"/>
  <c r="L25" i="5"/>
  <c r="M24" i="5"/>
  <c r="L24" i="5"/>
  <c r="L23" i="5"/>
  <c r="M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L6" i="5"/>
  <c r="M6" i="5"/>
  <c r="L5" i="5"/>
  <c r="M5" i="5"/>
  <c r="L4" i="5"/>
  <c r="M4" i="5"/>
  <c r="L3" i="5"/>
  <c r="M3" i="5"/>
  <c r="L2" i="5"/>
  <c r="M2" i="5"/>
  <c r="I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1" authorId="0" shapeId="0" xr:uid="{00000000-0006-0000-0100-000001000000}">
      <text>
        <r>
          <rPr>
            <sz val="10"/>
            <rFont val="Arial"/>
            <family val="2"/>
          </rPr>
          <t>Résultat obtenu : renseigné uniquement lors de l'exécution (vide en Phase 1).</t>
        </r>
      </text>
    </comment>
  </commentList>
</comments>
</file>

<file path=xl/sharedStrings.xml><?xml version="1.0" encoding="utf-8"?>
<sst xmlns="http://schemas.openxmlformats.org/spreadsheetml/2006/main" count="1494" uniqueCount="619">
  <si>
    <t>Nom du projet</t>
  </si>
  <si>
    <t>OrangeHRM - Phase 1 : Analyse et conception des tests (projet final ISTQB GoMyCode)</t>
  </si>
  <si>
    <t>Date de livraison</t>
  </si>
  <si>
    <t>Date de conception des tests</t>
  </si>
  <si>
    <t>2026-10-15</t>
  </si>
  <si>
    <t>Conçu par</t>
  </si>
  <si>
    <t>EL ABDELLAOUI JABER</t>
  </si>
  <si>
    <t>Développeur</t>
  </si>
  <si>
    <t>OrangeHRM Inc. - démo open source, https://opensource-demo.orangehrmlive.com/web/index.php/auth/login</t>
  </si>
  <si>
    <t>Navigateurs</t>
  </si>
  <si>
    <t>Google Chrome, dernière version stable (ordinateur)</t>
  </si>
  <si>
    <t>Version Android</t>
  </si>
  <si>
    <t xml:space="preserve">N/A </t>
  </si>
  <si>
    <t>Version iOS</t>
  </si>
  <si>
    <t>Pays</t>
  </si>
  <si>
    <t>Maroc</t>
  </si>
  <si>
    <t>PC</t>
  </si>
  <si>
    <t xml:space="preserve">PC de bureau </t>
  </si>
  <si>
    <t>Environnement Linux</t>
  </si>
  <si>
    <t>NA</t>
  </si>
  <si>
    <t>Version Windows</t>
  </si>
  <si>
    <t>Windows  11</t>
  </si>
  <si>
    <t>compagne</t>
  </si>
  <si>
    <t>Suite</t>
  </si>
  <si>
    <t>ID test</t>
  </si>
  <si>
    <t>titre de test</t>
  </si>
  <si>
    <t>type de test</t>
  </si>
  <si>
    <t>précondition</t>
  </si>
  <si>
    <t>N° d'étape</t>
  </si>
  <si>
    <t>Etapes</t>
  </si>
  <si>
    <t>DONNées de test</t>
  </si>
  <si>
    <t>Résultat attendu</t>
  </si>
  <si>
    <t>résultat obtenu</t>
  </si>
  <si>
    <t>statut</t>
  </si>
  <si>
    <t>ID exigence</t>
  </si>
  <si>
    <t>ID scénario</t>
  </si>
  <si>
    <t>Objectif</t>
  </si>
  <si>
    <t>Priorité</t>
  </si>
  <si>
    <t>Technique</t>
  </si>
  <si>
    <t>OrangeHRM Phase 1</t>
  </si>
  <si>
    <t>TS-01 Authentification (Login / Logout)</t>
  </si>
  <si>
    <t>TC-001</t>
  </si>
  <si>
    <t>Connexion avec des identifiants Admin valides</t>
  </si>
  <si>
    <t>fonctionnel</t>
  </si>
  <si>
    <t>Chrome (dernière version stable) ouvert sur la page de connexion de la démo ; aucun utilisateur connecté.</t>
  </si>
  <si>
    <t>Saisir 'Admin' dans Username</t>
  </si>
  <si>
    <t>Username : Admin
Password : admin123</t>
  </si>
  <si>
    <t>'Admin' s'affiche dans le champ Username</t>
  </si>
  <si>
    <t>Username 'Admin' s'affiche correctement</t>
  </si>
  <si>
    <t>Réussi</t>
  </si>
  <si>
    <t>REQ-001, REQ-004</t>
  </si>
  <si>
    <t>SC-001</t>
  </si>
  <si>
    <t>Vérifier qu'un utilisateur valide est authentifié et que le mot de passe est masqué (règle R1 de la table de décision).</t>
  </si>
  <si>
    <t>Haute</t>
  </si>
  <si>
    <t>Test par tables de décision</t>
  </si>
  <si>
    <t>Saisir 'admin123' dans Password</t>
  </si>
  <si>
    <t>Des caractères de masquage s'affichent ; le texte en clair 'admin123' n'est pas visible</t>
  </si>
  <si>
    <t>Le mot de passe est masqué (invisible)</t>
  </si>
  <si>
    <t>Cliquer sur Login</t>
  </si>
  <si>
    <t>L'URL contient '/dashboard/index' ; le titre de page 'Dashboard' et le menu déroulant de l'utilisateur (en haut à droite) s'affichent</t>
  </si>
  <si>
    <t>Redirection vers le Dashboard</t>
  </si>
  <si>
    <t>TC-002</t>
  </si>
  <si>
    <t>Connexion avec un nom d'utilisateur valide et un mot de passe erroné</t>
  </si>
  <si>
    <t>Username : Admin
Password : admin999</t>
  </si>
  <si>
    <t>La valeur s'affiche</t>
  </si>
  <si>
    <t>REQ-002</t>
  </si>
  <si>
    <t>SC-002</t>
  </si>
  <si>
    <t>Vérifier qu'un mot de passe invalide est refusé (règle R2 de la table de décision).</t>
  </si>
  <si>
    <t>Saisir 'admin999' dans Password</t>
  </si>
  <si>
    <t>La valeur est masquée</t>
  </si>
  <si>
    <t>L'alerte 'Invalid credentials' s'affiche ; l'URL contient toujours '/auth/login' ; le Dashboard ne s'affiche pas</t>
  </si>
  <si>
    <t>Le message « Invalid credentials » s'affiche et l'utilisateur reste sur la page de connexion</t>
  </si>
  <si>
    <t>TC-003</t>
  </si>
  <si>
    <t>Connexion avec un nom d'utilisateur inconnu et un mot de passe valide</t>
  </si>
  <si>
    <t>Saisir 'Lion13' dans Username</t>
  </si>
  <si>
    <t>Username : Lion13
Password : admin123</t>
  </si>
  <si>
    <t>Username 'Lion13' s'affiche correctement</t>
  </si>
  <si>
    <t>Vérifier qu'un nom d'utilisateur inconnu est refusé (règle R3 de la table de décision).</t>
  </si>
  <si>
    <t>L'alerte 'Invalid credentials' s'affiche ; l'URL contient toujours '/auth/login'</t>
  </si>
  <si>
    <t>TC-004</t>
  </si>
  <si>
    <t>Connexion avec un mot de passe dans la mauvaise casse</t>
  </si>
  <si>
    <t>Username : Admin
Password : ADMIN123 (mauvaise casse)</t>
  </si>
  <si>
    <t>Vérifier que le mot de passe est sensible à la casse.</t>
  </si>
  <si>
    <t>Moyenne</t>
  </si>
  <si>
    <t>Estimation d'erreurs</t>
  </si>
  <si>
    <t>Saisir 'ADMIN123' dans Password</t>
  </si>
  <si>
    <t>L'alerte 'Invalid credentials' s'affiche ; l'utilisateur reste sur la page de connexion</t>
  </si>
  <si>
    <t>TC-005</t>
  </si>
  <si>
    <t>Connexion avec Username vide</t>
  </si>
  <si>
    <t>Laisser Username vide et saisir 'admin123' dans Password</t>
  </si>
  <si>
    <t>Username : (vide)
Password : admin123</t>
  </si>
  <si>
    <t>Le champ Username est vide et le mot de passe est masqué</t>
  </si>
  <si>
    <t>REQ-003</t>
  </si>
  <si>
    <t>SC-003</t>
  </si>
  <si>
    <t>Vérifier que Username est obligatoire (règle R5 de la table de décision).</t>
  </si>
  <si>
    <t>'Required' s'affiche sous Username ; aucune alerte 'Invalid credentials' ; l'URL contient toujours '/auth/login'</t>
  </si>
  <si>
    <t>Le message « Required » s'affiche sous le champ Username et l'utilisateur reste sur la page de connexion.</t>
  </si>
  <si>
    <t>TC-006</t>
  </si>
  <si>
    <t>Connexion avec Password vide</t>
  </si>
  <si>
    <t>Saisir 'Admin' dans Username et laisser Password vide</t>
  </si>
  <si>
    <t>Username : Admin
Password : (vide)</t>
  </si>
  <si>
    <t>Username 'Admin' s'affiche correctement et la case mot de passe est vide</t>
  </si>
  <si>
    <t>Vérifier que Password est obligatoire (règle R6 de la table de décision).</t>
  </si>
  <si>
    <t>'Required' s'affiche sous Password et l'utilisateur reste sur la page de connexion</t>
  </si>
  <si>
    <t>TC-007</t>
  </si>
  <si>
    <t>Connexion avec les deux champs vides</t>
  </si>
  <si>
    <t>Cliquer sur Login sans rien saisir</t>
  </si>
  <si>
    <t>Username : (vide)
Password : (vide)</t>
  </si>
  <si>
    <t>'Required' s'affiche sous Username ET sous Password ; l'utilisateur reste sur la page de connexion</t>
  </si>
  <si>
    <t>'Required' s'affiche sous Username et sous Password, et l'utilisateur reste sur la page de connexion</t>
  </si>
  <si>
    <t>Vérifier que les deux messages d'obligation s'affichent ensemble (règle R7 de la table de décision).</t>
  </si>
  <si>
    <t>TC-008</t>
  </si>
  <si>
    <t>Déconnexion depuis le menu déroulant de l'utilisateur</t>
  </si>
  <si>
    <t>Connecté en tant qu'Admin (Admin / admin123).</t>
  </si>
  <si>
    <t>Cliquer sur le nom/l'avatar de l'utilisateur en haut à droite</t>
  </si>
  <si>
    <t>Session : Admin / admin123
Action : menu utilisateur → Logout</t>
  </si>
  <si>
    <t>Un menu déroulant contenant 'Logout' s'affiche</t>
  </si>
  <si>
    <t>Un menu déroulant s'affiche avec l'option Logout.</t>
  </si>
  <si>
    <t>REQ-005</t>
  </si>
  <si>
    <t>SC-004</t>
  </si>
  <si>
    <t>Vérifier la transition Authentifié -&gt; Déconnecté.</t>
  </si>
  <si>
    <t>Test de transition d'états</t>
  </si>
  <si>
    <t>Cliquer sur 'Logout'</t>
  </si>
  <si>
    <t>L'URL contient '/auth/login' ; le formulaire de connexion (Username, Password, Login) s'affiche</t>
  </si>
  <si>
    <t>Après avoir cliqué sur « Logout », l'utilisateur est déconnecté et redirigé vers la page de connexion.</t>
  </si>
  <si>
    <t>TC-009</t>
  </si>
  <si>
    <t>Le bouton Retour du navigateur après déconnexion ne rouvre pas les pages internes</t>
  </si>
  <si>
    <t>Cliquer sur PIM dans le menu principal</t>
  </si>
  <si>
    <t>Session : Admin / admin123
Module ouvert : PIM (Employee Information)
Actions : Logout ; bouton Retour du navigateur ; actualisation (F5 dans l'étape, Ctrl + R dans le résultat obtenu)</t>
  </si>
  <si>
    <t>La liste Employee Information s'affiche</t>
  </si>
  <si>
    <t>La page « Employee Information » s'affiche correctement avec la liste des employés.</t>
  </si>
  <si>
    <t>REQ-006</t>
  </si>
  <si>
    <t>Vérifier la transition invalide Déconnecté -&gt; page interne.</t>
  </si>
  <si>
    <t>Se déconnecter (menu déroulant de l'utilisateur &gt; Logout)</t>
  </si>
  <si>
    <t>La page de connexion s'affiche</t>
  </si>
  <si>
    <t>Après déconnexion, l'utilisateur est redirigé vers la page Login (/auth/login).</t>
  </si>
  <si>
    <t>Cliquer sur le bouton Retour du navigateur, puis appuyer sur F5 (actualiser)</t>
  </si>
  <si>
    <t>La page de connexion s'affiche (l'URL contient '/auth/login') ; la liste Employee Information ne s'affiche pas</t>
  </si>
  <si>
    <t>Après Retour, l'ancienne page Employee List réapparaît. Après Ctrl + R, l'utilisateur est redirigé vers Login. L'accès direct à PIM est également refusé après déconnexion.</t>
  </si>
  <si>
    <t>TC-010</t>
  </si>
  <si>
    <t>URL directe vers une page interne sans session</t>
  </si>
  <si>
    <t>Fenêtre de navigation privée Chrome (aucune session).</t>
  </si>
  <si>
    <t>Coller l'URL dans la barre d'adresse et appuyer sur Entrée</t>
  </si>
  <si>
    <t>URL : https://opensource-demo.orangehrmlive.com/web/index.php/pim/viewEmployeeList
Navigateur : Chrome, navigation privée (aucune session)</t>
  </si>
  <si>
    <t>Le navigateur est redirigé vers une URL contenant '/auth/login' ; le formulaire de connexion s'affiche ; aucune donnée d'employé n'est visible</t>
  </si>
  <si>
    <t>En navigation privée, l'accès direct à la page Employee List entraîne une redirection vers /auth/login. Le formulaire de connexion s'affiche et aucune donnée d'employé n'est visible.</t>
  </si>
  <si>
    <t>Vérifier que la transition Non authentifié -&gt; page protégée est redirigée.</t>
  </si>
  <si>
    <t>TC-011</t>
  </si>
  <si>
    <t>Connexion avec un compte désactivé (Disabled)</t>
  </si>
  <si>
    <t>SETUP-01 effectué : employé de test « Ali Klayw » créé (ID : 0454). SETUP-02 effectué : compte ESS « qa.ali.klayw1020 » créé avec Status = Disabled. Admin déconnecté ; page Login affichée.</t>
  </si>
  <si>
    <t>Saisir Username 'qa.ali.klayw1020' et Password 'QaTest@2026!'</t>
  </si>
  <si>
    <t>Username : qa.ali.klayw1020
Password : QaTest@2026!
Status du compte : Disabled
Employé associé : Ali Klayw (ID 0454)</t>
  </si>
  <si>
    <t>La valeur de Username s'affiche et le Password est masqué</t>
  </si>
  <si>
    <t>Le Username est saisi et le Password est masqué</t>
  </si>
  <si>
    <t>REQ-007</t>
  </si>
  <si>
    <t>SC-005</t>
  </si>
  <si>
    <t>Vérifier qu'un compte désactivé ne peut pas se connecter (table de décision : identifiants valides + statut Disabled).</t>
  </si>
  <si>
    <t>Le message 'Account disabled' s'affiche ; l'URL contient toujours '/auth/login'</t>
  </si>
  <si>
    <t>Le message « Account disabled » s'affiche ; l'accès au Dashboard est refusé et le formulaire Login reste affiché.</t>
  </si>
  <si>
    <t>TC-012</t>
  </si>
  <si>
    <t>Réactiver un utilisateur désactivé puis se connecter</t>
  </si>
  <si>
    <t>SETUP-01 effectué ; SETUP-02 effectué avec Status = Disabled ; Connecté en tant qu'Admin (Admin / admin123).</t>
  </si>
  <si>
    <t>Admin &gt; User Management &gt; Users ; rechercher le Username 'qa.ali.klayw1020'</t>
  </si>
  <si>
    <t>Test bloqué – aucune donnée d'exécution.
Données prévues : Username = qa.ali.klayw1020 (compte introuvable) ; nouveau Status = Enabled ; Password = QaTest@2026 (à vérifier : « QaTest@2026! » en TC-011)</t>
  </si>
  <si>
    <t>Un seul enregistrement correspondant au compte « qa.ali.klayw1020 » s'affiche avec le statut « Disabled ».</t>
  </si>
  <si>
    <t>Test non exécuté : le compte de test « qa.ali.klayw1020 », précédemment créé avec le statut « Disabled », est introuvable dans Admin → Users. L'employé associé « Ali Klayw » est également introuvable dans PIM. Précondition non satisfaite.</t>
  </si>
  <si>
    <t>Bloqué</t>
  </si>
  <si>
    <t>REQ-017, REQ-007</t>
  </si>
  <si>
    <t>Vérifier que la transition Disabled -&gt; Enabled rétablit l'accès.</t>
  </si>
  <si>
    <t>Cliquer sur l'icône de modification (crayon) ; définir Status = Enabled ; Save</t>
  </si>
  <si>
    <t>Le compte est modifié avec succès et son statut devient « Enabled ».</t>
  </si>
  <si>
    <t>Étape non exécutée : impossible de modifier le statut du compte, car aucun utilisateur correspondant n'a été trouvé lors de la recherche précédente.</t>
  </si>
  <si>
    <t>Se déconnecter, puis se connecter avec 'qa.ali.klayw1020' / 'QaTest@2026'</t>
  </si>
  <si>
    <t>L'utilisateur se connecte avec succès et accède au Dashboard.</t>
  </si>
  <si>
    <t>Étape non exécutée : la connexion avec un compte activé n'a pas pu être vérifiée, car l'activation du compte était impossible.</t>
  </si>
  <si>
    <t>TC-013</t>
  </si>
  <si>
    <t>Ouvrir la page de demande de réinitialisation du mot de passe</t>
  </si>
  <si>
    <t>Cliquer sur 'Forgot your password?'</t>
  </si>
  <si>
    <t>N/A – aucune saisie (lien « Forgot your password? »)</t>
  </si>
  <si>
    <t>L'URL contient '/auth/requestPasswordResetCode' ; le titre 'Reset Password' et un champ Username s'affichent</t>
  </si>
  <si>
    <t>Après avoir cliqué sur « Forgot your password? », le navigateur affiche la page « Reset Password ». L'URL contient « /auth/requestPasswordResetCode ». Le champ « Username » ainsi que les boutons « Cancel » et « Reset Password » sont visibles.</t>
  </si>
  <si>
    <t>REQ-008</t>
  </si>
  <si>
    <t>SC-006</t>
  </si>
  <si>
    <t>Vérifier le lien 'Forgot your password?'.</t>
  </si>
  <si>
    <t>Basse</t>
  </si>
  <si>
    <t>Partitionnement en classes d'équivalence</t>
  </si>
  <si>
    <t>TS-02 Dashboard (tableau de bord)</t>
  </si>
  <si>
    <t>TC-014</t>
  </si>
  <si>
    <t>Widgets du Dashboard affichés après la connexion</t>
  </si>
  <si>
    <t>Cliquer sur Dashboard dans le menu principal</t>
  </si>
  <si>
    <t>Session : Admin / admin123
Aucune saisie (lecture des widgets)</t>
  </si>
  <si>
    <t>La page Dashboard s'affiche</t>
  </si>
  <si>
    <t>Après avoir cliqué sur « Dashboard » dans le menu principal, la page Dashboard s'affiche correctement. Le menu « Dashboard » est sélectionné et plusieurs widgets sont visibles.</t>
  </si>
  <si>
    <t>REQ-009</t>
  </si>
  <si>
    <t>SC-007</t>
  </si>
  <si>
    <t>Vérifier que les widgets documentés s'affichent.</t>
  </si>
  <si>
    <t>Test basé sur des checklists</t>
  </si>
  <si>
    <t>Lire les titres des widgets</t>
  </si>
  <si>
    <t>Titres affichés : Time at Work, My Actions, Quick Launch, Buzz Latest Posts, Employees on Leave Today, Employee Distribution by Sub Unit, Employee Distribution by Location (consigner toute différence comme observation)</t>
  </si>
  <si>
    <t>Les sept widgets attendus sont affichés sur le Dashboard : Time at Work, My Actions, Quick Launch, Buzz Latest Posts, Employees on Leave Today, Employee Distribution by Sub Unit et Employee Distribution by Location. Aucune différence constatée.</t>
  </si>
  <si>
    <t>TS-03 Admin - Gestion des utilisateurs (User Management)</t>
  </si>
  <si>
    <t>TC-015</t>
  </si>
  <si>
    <t>Créer un utilisateur ESS avec des données valides</t>
  </si>
  <si>
    <t>SETUP-01 effectué : employée de test « Nada Hakam » créée dans PIM ; connecté en tant qu'Admin (Admin / admin123) ; Admin → User Management → Users → + Add (formulaire Add User affiché).</t>
  </si>
  <si>
    <t>Sélectionner User Role = ESS</t>
  </si>
  <si>
    <t>User Role : ESS
Employee Name : Nada Hakam (saisie « Nada »)
Status : Enabled
Username : qa.nada.haka1020
Password / Confirm Password : QaTest@2026</t>
  </si>
  <si>
    <t>« ESS » s'affiche dans le champ User Role.</t>
  </si>
  <si>
    <t>Le rôle « ESS » a été sélectionné dans le formulaire Add User.</t>
  </si>
  <si>
    <t>REQ-010</t>
  </si>
  <si>
    <t>SC-008</t>
  </si>
  <si>
    <t>Vérifier qu'un utilisateur système valide est créé.</t>
  </si>
  <si>
    <t>Saisir « Nada » dans Employee Name et sélectionner « Nada Hakam » dans la liste.</t>
  </si>
  <si>
    <t>« Nada Hakam » s'affiche dans le champ Employee Name ; aucun message « Invalid » n'apparaît.</t>
  </si>
  <si>
    <t>L'employée « Nada Hakam » a été sélectionnée dans le champ Employee Name, sans erreur de validation signalée.</t>
  </si>
  <si>
    <t>Sélectionner Status = Enabled.</t>
  </si>
  <si>
    <t>« Enabled » s'affiche dans le champ Status.</t>
  </si>
  <si>
    <t>Le statut « Enabled » a été sélectionné pour le nouveau compte utilisateur.</t>
  </si>
  <si>
    <t>Saisir le Username « qa.nada.haka1020 ».</t>
  </si>
  <si>
    <t>Le Username « qa.nada.haka1020 » est accepté sans message de validation.</t>
  </si>
  <si>
    <t>Le nom d'utilisateur « qa.nada.haka1020 » a été saisi et accepté lors de la création du compte.</t>
  </si>
  <si>
    <t>Saisir 'QaTest@2026' dans Password et Confirm Password</t>
  </si>
  <si>
    <t>Aucun message de validation n'apparaît sous les deux champs.</t>
  </si>
  <si>
    <t>Le mot de passe et sa confirmation ont été renseignés ; la création du compte a pu être effectuée.</t>
  </si>
  <si>
    <t>Cliquer sur Save</t>
  </si>
  <si>
    <t>Le message « Successfully Saved » s'affiche et la liste System Users apparaît.</t>
  </si>
  <si>
    <t>Le compte utilisateur a été enregistré avec succès et apparaît dans la liste System Users.</t>
  </si>
  <si>
    <t>Rechercher le Username « qa.nada.haka1020 ».</t>
  </si>
  <si>
    <t>« (1) Record Found » ; la ligne indique Username « qa.nada.haka1020 », User Role « ESS », Employee Name « Nada Hakam » et Status « Enabled ».</t>
  </si>
  <si>
    <t>La recherche affiche « (1) Record Found » : Username « qa.nada.haka1020 », rôle « ESS », employée « Nada Hakam », statut « Enabled ».</t>
  </si>
  <si>
    <t>TC-016</t>
  </si>
  <si>
    <t>Enregistrer le formulaire Add User vide</t>
  </si>
  <si>
    <t>Connecté en tant qu'Admin ; Admin &gt; User Management &gt; Users &gt; + Add (formulaire Add User affiché).</t>
  </si>
  <si>
    <t>Cliquer sur Save sans remplir aucun champ</t>
  </si>
  <si>
    <t>Tous les champs vides (User Role, Employee Name, Status, Username, Password, Confirm Password)</t>
  </si>
  <si>
    <t>'Required' sous User Role, Employee Name, Status, Username et Password ; 'Passwords do not match' sous Confirm Password ; le formulaire Add User reste affiché</t>
  </si>
  <si>
    <t>Après avoir cliqué sur « Save » sans renseigner aucun champ, le message « Required » s'affiche sous User Role, Employee Name, Status, Username et Password. Le message « Passwords do not match » s'affiche sous Confirm Password. Le formulaire « Add User » reste affiché et aucun utilisateur n'est créé.</t>
  </si>
  <si>
    <t>Vérifier que tous les champs obligatoires sont contrôlés.</t>
  </si>
  <si>
    <t>TC-017</t>
  </si>
  <si>
    <t>Employee Name saisi mais non sélectionné</t>
  </si>
  <si>
    <t>Saisir « Youssef Karim » dans le champ Employee Name, puis cliquer en dehors du champ.</t>
  </si>
  <si>
    <t>Employee Name : Youssef Karim (saisi, non sélectionné dans la liste)</t>
  </si>
  <si>
    <t>Le message « Invalid » s'affiche sous Employee Name.</t>
  </si>
  <si>
    <t>Après avoir saisi « Youssef Karim » dans le champ Employee Name et cliqué en dehors du champ, le message de validation « Invalid » s'affiche en rouge sous Employee Name.</t>
  </si>
  <si>
    <t>REQ-015</t>
  </si>
  <si>
    <t>Vérifier qu'Employee Name doit provenir de la liste d'autocomplétion.</t>
  </si>
  <si>
    <t>L'utilisateur n'est pas créé ; le formulaire Add User reste affiché</t>
  </si>
  <si>
    <t>Après avoir cliqué sur « Save », le formulaire « Add User » reste affiché. Le message « Invalid » apparaît toujours sous le champ Employee Name contenant « Youssef Karim ». Des messages de validation s'affichent également sous les autres champs obligatoires. Aucune confirmation de création d'utilisateur n'est affichée.</t>
  </si>
  <si>
    <t>TC-018</t>
  </si>
  <si>
    <t>Username de 4 caractères (min - 1)</t>
  </si>
  <si>
    <t>Saisir 'qa1x' dans Username et cliquer ailleurs</t>
  </si>
  <si>
    <t>Username : qa1x (4 caractères)</t>
  </si>
  <si>
    <t>'Should be at least 5 characters' s'affiche sous Username</t>
  </si>
  <si>
    <t>Après avoir saisi « qa1x » (4 caractères) dans le champ Username et cliqué en dehors du champ, le message de validation « Should be at least 5 characters » s'affiche en rouge sous Username.</t>
  </si>
  <si>
    <t>REQ-011</t>
  </si>
  <si>
    <t>SC-009</t>
  </si>
  <si>
    <t>Analyse des valeurs limites : limite inférieure invalide.</t>
  </si>
  <si>
    <t>Analyse des valeurs limites</t>
  </si>
  <si>
    <t>TC-019</t>
  </si>
  <si>
    <t>Username de 5 caractères (min)</t>
  </si>
  <si>
    <t>SETUP-01 effectué : employée de test « Nada Hakam » créée dans PIM (ID : 0515) ; connecté en tant qu'Admin ; formulaire Add User affiché.</t>
  </si>
  <si>
    <t>Renseigner User Role = ESS, Employee Name = Nada Hakam, Status = Enabled, Password et Confirm Password.</t>
  </si>
  <si>
    <t>User Role : ESS
Employee Name : Nada Hakam
Status : Enabled
Username : nada5 (5 caractères)
Password / Confirm Password : valeur non documentée – à vérifier</t>
  </si>
  <si>
    <t>Aucun message de validation ne s'affiche.</t>
  </si>
  <si>
    <t>Les champs User Role = ESS, Employee Name = Nada Hakam, Status = Enabled, Password et Confirm Password ont été renseignés sans erreur de validation visible.</t>
  </si>
  <si>
    <t>Analyse des valeurs limites : limite inférieure valide.</t>
  </si>
  <si>
    <t>Saisir « nada5 » dans Username, puis cliquer en dehors du champ.</t>
  </si>
  <si>
    <t>Aucun message de validation de longueur sous Username.</t>
  </si>
  <si>
    <t>Le Username « nada5 » (5 caractères) a été saisi. Aucun message de validation de longueur ne s'est affiché.</t>
  </si>
  <si>
    <t>Le message « Successfully Saved » s'affiche.</t>
  </si>
  <si>
    <t>Lors du clic sur Save, le message « Session Expired » s'est affiché et l'application a redirigé vers la page Login. Après reconnexion, les données de test précédemment créées n'ont plus été retrouvées. La création du compte « nada5 » n'a pas pu être confirmée.
Lors de l'exécution des tests sur OrangeHRM Demo, une expiration de session est survenue pendant l'enregistrement du compte « nada5 ». Après reconnexion, les données de test précédemment créées, notamment les employés « Ali Klayw » et « Nada Hakam », n'ont plus été retrouvées. Cette situation empêche la poursuite des scénarios dépendant de ces données.</t>
  </si>
  <si>
    <t>TC-020</t>
  </si>
  <si>
    <t>Username de 40 caractères (max)</t>
  </si>
  <si>
    <t>Connecté en tant qu'Admin ; Admin &gt; User Management &gt; Users &gt; + Add (formulaire Add User affiché). Un employé valide « John Doe » est sélectionnable.</t>
  </si>
  <si>
    <t>Renseigner User Role = ESS, Employee Name = John Doe, Status = Enabled, Password = QaTest@2026! et Confirm Password = QaTest@2026!.</t>
  </si>
  <si>
    <t>User Role : ESS
Employee Name : John Doe
Status : Enabled
Username : qatesttesttesttesttesttesttesttesttest20 (40 caractères)
Password / Confirm Password : QaTest@2026!</t>
  </si>
  <si>
    <t>Les champs obligatoires sont renseignés ; aucun message de validation ne s'affiche.</t>
  </si>
  <si>
    <t>Les champs User Role = ESS, Employee Name = John Doe, Status = Enabled, Password et Confirm Password ont été renseignés. Aucun message de validation n'est visible.</t>
  </si>
  <si>
    <t>Analyse des valeurs limites : limite supérieure valide.</t>
  </si>
  <si>
    <t>Saisir le Username qatesttesttesttesttesttesttesttesttest20 (40 caractères), puis cliquer en dehors du champ.</t>
  </si>
  <si>
    <t>Aucun message de validation de longueur ne s'affiche sous Username.</t>
  </si>
  <si>
    <t>Le Username de 40 caractères a été saisi. Aucun message de validation de longueur ne s'est affiché sous Username.</t>
  </si>
  <si>
    <t>Après avoir cliqué sur Save, le message « Successfully Saved » s'est affiché, confirmant l'enregistrement du formulaire.</t>
  </si>
  <si>
    <t>TC-021</t>
  </si>
  <si>
    <t>Username de 41 caractères (max + 1)</t>
  </si>
  <si>
    <t>Renseigner User Role = ESS, Employee Name = John Doe, Status = Enabled, Password = QaTest@2026! et Confirm Password = QaTest@2026!. Saisir un Username dépassant 40 caractères, puis cliquer en dehors du champ.</t>
  </si>
  <si>
    <t>User Role : ESS
Employee Name : John Doe
Status : Enabled
Password / Confirm Password : QaTest@2026!
Username : plus de 40 caractères – valeur exacte non documentée, à vérifier (prévu : 41 caractères, 'qa.max' + {RUN} + 'x' × 31)</t>
  </si>
  <si>
    <t>Le message « Should not exceed 40 characters » s'affiche sous Username.</t>
  </si>
  <si>
    <t>Les champs obligatoires ont été renseignés. Après la saisie d'un Username de plus de 40 caractères, le message « Should not exceed 40 characters » s'est affiché en rouge sous Username.</t>
  </si>
  <si>
    <t>Analyse des valeurs limites : limite supérieure invalide.</t>
  </si>
  <si>
    <t>Le compte n'est pas créé ; le formulaire Add User reste affiché.</t>
  </si>
  <si>
    <t>Après le clic sur Save, l'enregistrement a été refusé et le compte n'a pas été créé, selon l'observation effectuée.</t>
  </si>
  <si>
    <t>TC-022</t>
  </si>
  <si>
    <t>Username déjà utilisé</t>
  </si>
  <si>
    <t>Saisir 'Admin' dans Username et attendre 1 seconde</t>
  </si>
  <si>
    <t>Username : Admin (déjà existant)</t>
  </si>
  <si>
    <t>'Already exists' s'affiche sous Username</t>
  </si>
  <si>
    <t>Après la saisie de « Admin », le message « Already exists » s'est affiché en rouge sous Username.</t>
  </si>
  <si>
    <t>REQ-012</t>
  </si>
  <si>
    <t>Vérifier que les noms d'utilisateur en double sont refusés.</t>
  </si>
  <si>
    <t>L'utilisateur n'est pas créé</t>
  </si>
  <si>
    <t>Après le clic sur Save, le formulaire Add User reste affiché. Le message « Already exists » persiste sous Username. Des messages de validation apparaissent sous les autres champs obligatoires. Aucune confirmation de création n'est affichée.</t>
  </si>
  <si>
    <t>TC-023</t>
  </si>
  <si>
    <t>Confirm Password différent de Password</t>
  </si>
  <si>
    <t>Saisir 'QaTest@2026' dans Password</t>
  </si>
  <si>
    <t>Password : QaTest@2026
Confirm Password : QaTest@2027</t>
  </si>
  <si>
    <t>Aucun message de validation ne s'affiche sous Password.</t>
  </si>
  <si>
    <t>Le champ Password est renseigné et masqué. L'indicateur « Strongest » s'affiche ; aucun message d'erreur n'apparaît sous Password.</t>
  </si>
  <si>
    <t>REQ-013</t>
  </si>
  <si>
    <t>SC-010</t>
  </si>
  <si>
    <t>Vérifier la règle de confirmation.</t>
  </si>
  <si>
    <t>Saisir QaTest@2027 dans Confirm Password, puis cliquer en dehors du champ.</t>
  </si>
  <si>
    <t>Le message « Passwords do not match » s'affiche sous Confirm Password.</t>
  </si>
  <si>
    <t>Le champ Confirm Password est renseigné et masqué. Le message « Passwords do not match » s'affiche en rouge sous Confirm Password.</t>
  </si>
  <si>
    <t>TC-024</t>
  </si>
  <si>
    <t>Mot de passe de 7 caractères (min - 1)</t>
  </si>
  <si>
    <t>Saisir Qa@123 (6 caractères) dans Password et attendre 1 seconde</t>
  </si>
  <si>
    <t>Password : Qa@123 (6 caractères)</t>
  </si>
  <si>
    <t>Un message « Should have at least 7 characters » s'affiche pour 6 caractères</t>
  </si>
  <si>
    <t>Avec 6 caractères, le message « Should have at least 7 characters » s'affiche en rouge.</t>
  </si>
  <si>
    <t>REQ-014</t>
  </si>
  <si>
    <t>Analyse des valeurs limites sur la longueur minimale (A : minimum de la démo = 8).</t>
  </si>
  <si>
    <t>TC-025</t>
  </si>
  <si>
    <t>Mot de passe de 8 caractères (min)</t>
  </si>
  <si>
    <t>Saisir Qa@1234 (7 caractères) dans Password et attendre 1 seconde.</t>
  </si>
  <si>
    <t>Password : Qa@1234 (7 caractères)</t>
  </si>
  <si>
    <t>Aucun message d'erreur lié à la longueur minimale ne s'affiche sous Password.</t>
  </si>
  <si>
    <t>Après la saisie de Qa@1234 (7 caractères), aucun message d'erreur lié à la longueur minimale ne s'affiche sous Password.</t>
  </si>
  <si>
    <t>Analyse des valeurs limites : limite inférieure valide de la longueur du mot de passe.</t>
  </si>
  <si>
    <t>TC-026</t>
  </si>
  <si>
    <t>Mot de passe sans aucun chiffre</t>
  </si>
  <si>
    <t>Saisir QaTest@abc dans Password et attendre 1 seconde.</t>
  </si>
  <si>
    <t>Password : QaTest@abc (aucun chiffre)</t>
  </si>
  <si>
    <t>'Your password must contain minimum 1 number' s'affiche sous Password</t>
  </si>
  <si>
    <t>Après la saisie du mot de passe sans chiffre, le champ Password est encadré en rouge et le message « Your password must contain minimum 1 number » s'affiche en rouge sous le champ. L'indicateur de robustesse « Better » est visible.</t>
  </si>
  <si>
    <t>Partitionnement : classe invalide « aucun chiffre ».</t>
  </si>
  <si>
    <t>TC-027</t>
  </si>
  <si>
    <t>Mot de passe contenant un espace</t>
  </si>
  <si>
    <t>Saisir 'Qa Test@2026' dans Password et attendre 1 seconde</t>
  </si>
  <si>
    <t>Password : Qa Test@2026 (contient un espace)</t>
  </si>
  <si>
    <t>'Your password should not contain spaces' s'affiche sous Password</t>
  </si>
  <si>
    <t>Après la saisie d'un mot de passe contenant un espace, le champ Password est encadré en rouge et le message « Your password should not contain spaces » s'affiche sous le champ. L'indicateur de robustesse « Better » est visible.</t>
  </si>
  <si>
    <t>Partitionnement : classe invalide « contient un espace ».</t>
  </si>
  <si>
    <t>TC-028</t>
  </si>
  <si>
    <t>Rechercher un utilisateur système par nom d'utilisateur existant</t>
  </si>
  <si>
    <t>Connecté en tant qu'Admin (Admin / admin123). Admin &gt; User Management &gt; Users affiché.</t>
  </si>
  <si>
    <t>Saisir 'Admin' dans le filtre Username et cliquer sur Search</t>
  </si>
  <si>
    <t>Filtre Username : Admin</t>
  </si>
  <si>
    <t>« (1) Record Found » s'affiche ; la ligne indique Username « Admin » et User Role « Admin ».</t>
  </si>
  <si>
    <t>Après la recherche du Username « Admin », le message « (1) Record Found » s'affiche. Une seule ligne apparaît avec Username « Admin », User Role « Admin », Employee Name « manda user » et Status « Enabled ».</t>
  </si>
  <si>
    <t>REQ-016</t>
  </si>
  <si>
    <t>SC-011</t>
  </si>
  <si>
    <t>Partitionnement : valeur de recherche valide.</t>
  </si>
  <si>
    <t>TC-029</t>
  </si>
  <si>
    <t>Rechercher un utilisateur système par nom d'utilisateur inconnu</t>
  </si>
  <si>
    <t>Saisir nouser1020 dans le filtre Username et cliquer sur Search.</t>
  </si>
  <si>
    <t>Filtre Username : nouser1020</t>
  </si>
  <si>
    <t>« No Records Found » s'affiche ; le tableau ne contient aucune ligne d'utilisateur.</t>
  </si>
  <si>
    <t>Après la recherche du Username « nouser1020 », le message « No Records Found » s'affiche. Le tableau des utilisateurs ne contient aucune ligne de résultat.</t>
  </si>
  <si>
    <t>Partitionnement : valeur de recherche sans correspondance.</t>
  </si>
  <si>
    <t>TC-030</t>
  </si>
  <si>
    <t>Filtrer par rôle puis réinitialiser les filtres</t>
  </si>
  <si>
    <t>Sélectionner User Role = ESS et cliquer sur Search</t>
  </si>
  <si>
    <t>Filtre User Role : ESS
Action : Reset</t>
  </si>
  <si>
    <t>Chaque ligne affichée a le User Role 'ESS'</t>
  </si>
  <si>
    <t>Le message « (6) Records Found » s'affiche. Les 6 utilisateurs affichés possèdent le User Role « ESS ».</t>
  </si>
  <si>
    <t>Vérifier le filtre User Role et le bouton Reset.</t>
  </si>
  <si>
    <t>Cliquer sur Reset</t>
  </si>
  <si>
    <t>Le filtre User Role revient à '-- Select --' ; la liste contient de nouveau des lignes avec le rôle 'Admin'</t>
  </si>
  <si>
    <t>Après avoir cliqué sur Reset, le filtre User Role revient à « -- Select -- ». La liste complète des utilisateurs s'affiche de nouveau, notamment des utilisateurs ayant le rôle « Admin ».</t>
  </si>
  <si>
    <t>TC-031</t>
  </si>
  <si>
    <t>Supprimer un utilisateur système (confirmation)</t>
  </si>
  <si>
    <t>Être connecté en tant qu'Admin et accéder à Admin → User Management → Users. Le compte utilisateur ESS « qatesttesttesttesttesttesttesttest20 », associé à l'employé John Doe, doit être présent dans la liste des utilisateurs avant la suppression.</t>
  </si>
  <si>
    <t>Rechercher l'utilisateur « qatesttesttesttesttesttesttesttest20 » et cliquer sur son icône de suppression.</t>
  </si>
  <si>
    <t>Username : qatesttesttesttesttesttesttesttest20
User Role : ESS
Employee Name : John Doe
Action (étape 2) : Yes, Delete</t>
  </si>
  <si>
    <t>Une fenêtre de confirmation « Are you Sure? » s'affiche</t>
  </si>
  <si>
    <t>La fenêtre « Are you Sure? » s'est affichée avec les boutons « No, Cancel » et « Yes, Delete ».</t>
  </si>
  <si>
    <t>REQ-018</t>
  </si>
  <si>
    <t>SC-012</t>
  </si>
  <si>
    <t>Vérifier la transition Existant -&gt; Supprimé après confirmation.</t>
  </si>
  <si>
    <t>Cliquer sur 'Yes, Delete' pour confirmer la suppression</t>
  </si>
  <si>
    <t>Le compte ESS « qatesttesttesttesttesttesttesttest20 » est supprimé.</t>
  </si>
  <si>
    <t>Après confirmation, le nombre de comptes ESS affichés est passé de 4 à 3.</t>
  </si>
  <si>
    <t>Rechercher à nouveau le Username « qatesttesttesttesttesttesttesttest20 ».</t>
  </si>
  <si>
    <t>Le message « No Records Found » s'affiche.</t>
  </si>
  <si>
    <t>Le système a affiché « No Records Found » : le compte supprimé n'apparaît plus dans les résultats de recherche.</t>
  </si>
  <si>
    <t>TC-032</t>
  </si>
  <si>
    <t>Annuler la suppression d'un utilisateur système</t>
  </si>
  <si>
    <t>Être connecté en tant qu'Admin et accéder à Admin → User Management → Users. Le compte ESS « LALAL.EEE », associé à l'employé LALAL EEE, est présent dans la liste des utilisateurs.</t>
  </si>
  <si>
    <t>Cliquer sur l'icône de suppression du compte « LALAL.EEE ».</t>
  </si>
  <si>
    <t>Username : LALAL.EEE
User Role : ESS
Employee Name : LALAL EEE
Status : Enabled
Action (étape 2) : No, Cancel</t>
  </si>
  <si>
    <t>La boîte de dialogue 'Are you Sure?' s'affiche</t>
  </si>
  <si>
    <t>La fenêtre de confirmation s'est affichée avec les boutons « No, Cancel » et « Yes, Delete ».</t>
  </si>
  <si>
    <t>Vérifier que 'No, Cancel' conserve l'enregistrement.</t>
  </si>
  <si>
    <t>Cliquer sur 'No, Cancel'</t>
  </si>
  <si>
    <t>La fenêtre se ferme et le compte « LALAL.EEE » reste présent dans la liste.</t>
  </si>
  <si>
    <t>La fenêtre s'est fermée. Après recherche, le système affiche « (1) Record Found » et le compte « LALAL.EEE » est toujours présent avec le rôle ESS et le statut Enabled.</t>
  </si>
  <si>
    <t>TC-033</t>
  </si>
  <si>
    <t>Tenter de supprimer l'utilisateur Admin connecté</t>
  </si>
  <si>
    <t>Connecté en tant qu'Admin ; Admin → User Management → Users ; compte principal « Admin » présent dans la liste.</t>
  </si>
  <si>
    <t>Rechercher le Username « Admin », puis cliquer sur l'icône de corbeille de sa ligne</t>
  </si>
  <si>
    <t>Username : Admin (compte principal)</t>
  </si>
  <si>
    <t>Le message « Cannot be deleted » s'affiche et le compte Admin n'est pas supprimé.</t>
  </si>
  <si>
    <t>Après avoir recherché le compte « Admin » et cliqué sur son icône de suppression, le système affiche le message « Cannot be deleted ». La suppression est refusée.</t>
  </si>
  <si>
    <t>Vérifier que l'utilisateur connecté ne peut pas être supprimé.</t>
  </si>
  <si>
    <t>TC-034</t>
  </si>
  <si>
    <t>Menu principal d'un utilisateur Admin</t>
  </si>
  <si>
    <t>Lire les entrées du menu principal à gauche</t>
  </si>
  <si>
    <t>Session : Admin / admin123 (rôle Admin)</t>
  </si>
  <si>
    <t>Le menu contient au moins : Admin, PIM, Leave, My Info, Dashboard</t>
  </si>
  <si>
    <t>Sur la page Dashboard, les cinq rubriques « Admin », « PIM », « Leave », « My Info » et « Dashboard » sont visibles dans le menu principal à gauche.</t>
  </si>
  <si>
    <t>REQ-019</t>
  </si>
  <si>
    <t>SC-013</t>
  </si>
  <si>
    <t>Partitionnement : classe « rôle Admin ».</t>
  </si>
  <si>
    <t>TC-035</t>
  </si>
  <si>
    <t>Menu principal d'un utilisateur ESS</t>
  </si>
  <si>
    <t>SETUP-01 et SETUP-02 effectués ; connecté en tant que [compte ESS non renseigné dans le fichier d'origine – à compléter].</t>
  </si>
  <si>
    <t>Test bloqué – aucune donnée d'exécution (aucun compte ESS accessible).</t>
  </si>
  <si>
    <t>Le menu contient Leave et My Info et ne contient NI Admin NI PIM</t>
  </si>
  <si>
    <t>Test non exécuté : aucun compte ESS accessible n'est disponible pour effectuer la vérification. Précondition non satisfaite.</t>
  </si>
  <si>
    <t>Partitionnement : classe « rôle ESS ».</t>
  </si>
  <si>
    <t>TC-036</t>
  </si>
  <si>
    <t>REQ-020</t>
  </si>
  <si>
    <t>TC-037</t>
  </si>
  <si>
    <t>TC-038</t>
  </si>
  <si>
    <t>REQ-021</t>
  </si>
  <si>
    <t>TC-039</t>
  </si>
  <si>
    <t>TC-040</t>
  </si>
  <si>
    <t>REQ-022</t>
  </si>
  <si>
    <t>TC-041</t>
  </si>
  <si>
    <t>TC-042</t>
  </si>
  <si>
    <t>TC-043</t>
  </si>
  <si>
    <t>REQ-023</t>
  </si>
  <si>
    <t>TC-044</t>
  </si>
  <si>
    <t>REQ-024</t>
  </si>
  <si>
    <t>TC-045</t>
  </si>
  <si>
    <t>TC-046</t>
  </si>
  <si>
    <t>REQ-025</t>
  </si>
  <si>
    <t>TC-047</t>
  </si>
  <si>
    <t>TC-048</t>
  </si>
  <si>
    <t>REQ-026</t>
  </si>
  <si>
    <t>TC-049</t>
  </si>
  <si>
    <t>REQ-027</t>
  </si>
  <si>
    <t>TC-050</t>
  </si>
  <si>
    <t>TC-051</t>
  </si>
  <si>
    <t>REQ-028</t>
  </si>
  <si>
    <t>TC-052</t>
  </si>
  <si>
    <t>TC-053</t>
  </si>
  <si>
    <t>REQ-030</t>
  </si>
  <si>
    <t>TC-054</t>
  </si>
  <si>
    <t>REQ-029</t>
  </si>
  <si>
    <t>TC-055</t>
  </si>
  <si>
    <t>REQ-032</t>
  </si>
  <si>
    <t>TC-056</t>
  </si>
  <si>
    <t>REQ-033</t>
  </si>
  <si>
    <t>TC-057</t>
  </si>
  <si>
    <t>TC-058</t>
  </si>
  <si>
    <t>TC-059</t>
  </si>
  <si>
    <t>TC-060</t>
  </si>
  <si>
    <t>REQ-034</t>
  </si>
  <si>
    <t>TC-061</t>
  </si>
  <si>
    <t>TC-062</t>
  </si>
  <si>
    <t>TC-063</t>
  </si>
  <si>
    <t>TC-064</t>
  </si>
  <si>
    <t>REQ-035</t>
  </si>
  <si>
    <t>TC-065</t>
  </si>
  <si>
    <t>TC-066</t>
  </si>
  <si>
    <t>ID REQ</t>
  </si>
  <si>
    <t>Module</t>
  </si>
  <si>
    <t>Titre</t>
  </si>
  <si>
    <t>Exigence</t>
  </si>
  <si>
    <t>Base (D/A)</t>
  </si>
  <si>
    <t>Nb scénarios</t>
  </si>
  <si>
    <t>Nb cas de test</t>
  </si>
  <si>
    <t>Couverture</t>
  </si>
  <si>
    <t>ID scénarios</t>
  </si>
  <si>
    <t>ID cas de test</t>
  </si>
  <si>
    <t>REQ-001</t>
  </si>
  <si>
    <t>Authentification (Login / Logout)</t>
  </si>
  <si>
    <t>Connexion réussie</t>
  </si>
  <si>
    <t>Le système doit authentifier un utilisateur qui saisit un Username et un Password valides, puis ouvrir le Dashboard.</t>
  </si>
  <si>
    <t>D/A</t>
  </si>
  <si>
    <t>Identifiants invalides refusés</t>
  </si>
  <si>
    <t>Si la paire Username/Password est invalide, le système doit maintenir l'utilisateur sur la page de connexion et afficher l'alerte 'Invalid credentials'.</t>
  </si>
  <si>
    <t>D</t>
  </si>
  <si>
    <t>TC-002, TC-003, TC-004</t>
  </si>
  <si>
    <t>Champs de connexion obligatoires</t>
  </si>
  <si>
    <t>Username et Password sont obligatoires. Un champ vide doit afficher 'Required' sous ce champ et le formulaire ne doit pas être soumis.</t>
  </si>
  <si>
    <t>TC-005, TC-006, TC-007</t>
  </si>
  <si>
    <t>REQ-004</t>
  </si>
  <si>
    <t>Masquage du mot de passe</t>
  </si>
  <si>
    <t>Le champ Password doit masquer les caractères saisis.</t>
  </si>
  <si>
    <t>Déconnexion</t>
  </si>
  <si>
    <t>La sélection de Logout dans le menu déroulant de l'utilisateur doit mettre fin à la session et rediriger vers la page de connexion.</t>
  </si>
  <si>
    <t>Pages protégées soumises à une session</t>
  </si>
  <si>
    <t>Sans session authentifiée (jamais connecté ou après déconnexion), toute demande d'une page interne doit rediriger vers la page de connexion.</t>
  </si>
  <si>
    <t>A</t>
  </si>
  <si>
    <t>TC-009, TC-010</t>
  </si>
  <si>
    <t>Compte désactivé sans accès</t>
  </si>
  <si>
    <t>Un utilisateur dont le statut est Disabled ne doit pas être authentifié ; le message 'Account disabled' doit s'afficher.</t>
  </si>
  <si>
    <t>TC-011, TC-012</t>
  </si>
  <si>
    <t>Accès au mot de passe oublié</t>
  </si>
  <si>
    <t>Le lien 'Forgot your password?' doit ouvrir la page de demande de réinitialisation (/auth/requestPasswordResetCode).</t>
  </si>
  <si>
    <t>Dashboard (tableau de bord)</t>
  </si>
  <si>
    <t>Widgets du Dashboard</t>
  </si>
  <si>
    <t>Après la connexion, le Dashboard doit afficher ses widgets : Time at Work, My Actions, Quick Launch, Buzz Latest Posts, Employees on Leave Today, Employee Distribution by Sub Unit, Employee Distribution by Location.</t>
  </si>
  <si>
    <t>Admin - Gestion des utilisateurs (User Management)</t>
  </si>
  <si>
    <t>Ajout d'un utilisateur système</t>
  </si>
  <si>
    <t>Un Admin doit pouvoir créer un utilisateur système avec User Role (Admin/ESS), Employee Name, Status (Enabled/Disabled), Username, Password et Confirm Password, tous obligatoires. En cas de succès : message 'Successfully Saved' et retour à la liste System Users.</t>
  </si>
  <si>
    <t>TC-015, TC-016</t>
  </si>
  <si>
    <t>Longueur du nom d'utilisateur</t>
  </si>
  <si>
    <t>Le Username doit comporter de 5 à 40 caractères. Moins de 5 : 'Should be at least 5 characters'. Plus de 40 : 'Should not exceed 40 characters'.</t>
  </si>
  <si>
    <t>TC-018, TC-019, TC-020, TC-021</t>
  </si>
  <si>
    <t>Unicité du nom d'utilisateur</t>
  </si>
  <si>
    <t>Un nom d'utilisateur déjà utilisé doit être refusé avec 'Already exists'.</t>
  </si>
  <si>
    <t>Confirmation du mot de passe</t>
  </si>
  <si>
    <t>Confirm Password doit être identique à Password ; sinon 'Passwords do not match' s'affiche.</t>
  </si>
  <si>
    <t>Politique de mot de passe</t>
  </si>
  <si>
    <t>Le mot de passe doit respecter la politique de mot de passe. Politique par défaut (v5.4+) : 8 caractères minimum, 64 maximum, au moins 1 majuscule, 1 minuscule, 1 chiffre, 1 caractère spécial, aucun espace ; chaque non-conformité affiche son message (par ex. 'Should have at least 8 characters').</t>
  </si>
  <si>
    <t>TC-024, TC-025, TC-026, TC-027</t>
  </si>
  <si>
    <t>Sélection obligatoire de l'employé</t>
  </si>
  <si>
    <t>Employee Name doit être un employé existant sélectionné dans la liste d'autocomplétion ; un texte libre non sélectionné doit afficher 'Invalid'.</t>
  </si>
  <si>
    <t>Recherche des utilisateurs système</t>
  </si>
  <si>
    <t>La liste System Users doit pouvoir être filtrée par Username, User Role, Employee Name et Status ; le nombre de résultats '(n) Record(s) Found' ou 'No Records Found' doit s'afficher ; Reset doit effacer les filtres.</t>
  </si>
  <si>
    <t>TC-028, TC-029, TC-030</t>
  </si>
  <si>
    <t>REQ-017</t>
  </si>
  <si>
    <t>Modification du statut d'un utilisateur</t>
  </si>
  <si>
    <t>Un Admin doit pouvoir modifier un utilisateur système et changer son Status (Enabled/Disabled) ; en cas de succès, 'Successfully Updated' s'affiche.</t>
  </si>
  <si>
    <t>Suppression d'un utilisateur système</t>
  </si>
  <si>
    <t>La suppression d'un utilisateur doit exiger une confirmation ('Are you Sure?' avec 'No, Cancel' / 'Yes, Delete') ; une suppression confirmée affiche 'Successfully Deleted'. L'utilisateur connecté ne peut pas être supprimé ('Cannot be deleted').</t>
  </si>
  <si>
    <t>TC-031, TC-032, TC-033</t>
  </si>
  <si>
    <t>Menu selon le rôle</t>
  </si>
  <si>
    <t>Le menu principal doit dépendre du rôle de l'utilisateur : un Admin voit Admin et PIM ; un utilisateur ESS ne voit ni Admin ni PIM.</t>
  </si>
  <si>
    <t>TC-034, TC-035</t>
  </si>
  <si>
    <t>PIM - Gestion des employés</t>
  </si>
  <si>
    <t>Ajout d'un employé</t>
  </si>
  <si>
    <t>Longueur des noms de l'employé</t>
  </si>
  <si>
    <t>Règles de l'Employee Id</t>
  </si>
  <si>
    <t>Création des identifiants de connexion</t>
  </si>
  <si>
    <t>Photo de profil</t>
  </si>
  <si>
    <t>Recherche des employés</t>
  </si>
  <si>
    <t>Suppression d'un employé</t>
  </si>
  <si>
    <t>Leave (congés)</t>
  </si>
  <si>
    <t>Demande de congé - champs obligatoires et types éligibles</t>
  </si>
  <si>
    <t>Ordre des dates de congé</t>
  </si>
  <si>
    <t>Format des dates de congé</t>
  </si>
  <si>
    <t>Longueur du commentaire de congé</t>
  </si>
  <si>
    <t>REQ-031</t>
  </si>
  <si>
    <t>Soumission d'une demande de congé</t>
  </si>
  <si>
    <t>Chevauchement de congés</t>
  </si>
  <si>
    <t>Attribution d'un congé</t>
  </si>
  <si>
    <t>Workflow des statuts de congé</t>
  </si>
  <si>
    <t>My Info (informations personnelles)</t>
  </si>
  <si>
    <t>Mise à jour de ses informations personnelles</t>
  </si>
  <si>
    <t>ID exigence(s)</t>
  </si>
  <si>
    <t>Description</t>
  </si>
  <si>
    <t>Type</t>
  </si>
  <si>
    <t>Justification de la priorité</t>
  </si>
  <si>
    <t>Se connecter avec des identifiants valides</t>
  </si>
  <si>
    <t>Positif</t>
  </si>
  <si>
    <t>Point d'entrée de tous les modules ; bloque tous les autres tests en cas de défaillance.</t>
  </si>
  <si>
    <t>Connexion refusée pour des combinaisons d'identifiants invalides</t>
  </si>
  <si>
    <t>Négatif</t>
  </si>
  <si>
    <t>Test par tables de décision, Estimation d'erreurs</t>
  </si>
  <si>
    <t>Risque de sécurité : accès non autorisé.</t>
  </si>
  <si>
    <t>Connexion refusée lorsque des champs obligatoires sont vides</t>
  </si>
  <si>
    <t>Erreur utilisateur fréquente ; premier niveau de validation.</t>
  </si>
  <si>
    <t>REQ-005, REQ-006</t>
  </si>
  <si>
    <t>Déconnexion et accès aux pages protégées sans session</t>
  </si>
  <si>
    <t>Positif / Négatif</t>
  </si>
  <si>
    <t>Une fuite de session expose des données personnelles RH.</t>
  </si>
  <si>
    <t>TC-008, TC-009, TC-010</t>
  </si>
  <si>
    <t>REQ-007, REQ-017</t>
  </si>
  <si>
    <t>Le statut du compte (Enabled/Disabled) conditionne la connexion</t>
  </si>
  <si>
    <t>Test de transition d'états, Test par tables de décision</t>
  </si>
  <si>
    <t>Les comptes désactivés (salariés sortis) ne doivent pas accéder aux données RH.</t>
  </si>
  <si>
    <t>Accéder à la page de demande de réinitialisation du mot de passe</t>
  </si>
  <si>
    <t>Lien de navigation à faible impact ; l'envoi d'e-mail est hors périmètre.</t>
  </si>
  <si>
    <t>Les widgets du Dashboard s'affichent après la connexion</t>
  </si>
  <si>
    <t>Affichage d'information uniquement ; niveau smoke test.</t>
  </si>
  <si>
    <t>REQ-010, REQ-015</t>
  </si>
  <si>
    <t>Créer un utilisateur système (formulaire valide et invalide)</t>
  </si>
  <si>
    <t>La création de comptes détermine les droits d'accès.</t>
  </si>
  <si>
    <t>TC-015, TC-016, TC-017</t>
  </si>
  <si>
    <t>REQ-011, REQ-012</t>
  </si>
  <si>
    <t>Validation de la longueur et de l'unicité du nom d'utilisateur</t>
  </si>
  <si>
    <t>Limite / Négatif</t>
  </si>
  <si>
    <t>Analyse des valeurs limites, Partitionnement en classes d'équivalence</t>
  </si>
  <si>
    <t>Limites documentées 5-40 ; les doublons perturbent l'authentification.</t>
  </si>
  <si>
    <t>TC-018, TC-019, TC-020, TC-021, TC-022</t>
  </si>
  <si>
    <t>REQ-013, REQ-014</t>
  </si>
  <si>
    <t>Confirmation du mot de passe et politique de mot de passe</t>
  </si>
  <si>
    <t>Négatif / Limite</t>
  </si>
  <si>
    <t>Mots de passe faibles = risque de sécurité.</t>
  </si>
  <si>
    <t>TC-023, TC-024, TC-025, TC-026, TC-027</t>
  </si>
  <si>
    <t>Rechercher des utilisateurs système et réinitialiser les filtres</t>
  </si>
  <si>
    <t>Efficacité administrative ; aucune modification de données.</t>
  </si>
  <si>
    <t>Supprimer un utilisateur système (confirmation, annulation, auto-suppression interdite)</t>
  </si>
  <si>
    <t>Test de transition d'états, Estimation d'erreurs</t>
  </si>
  <si>
    <t>Action irréversible ; l'auto-suppression bloquerait l'administrateur.</t>
  </si>
  <si>
    <t>Le menu principal dépend du rôle de l'utilisateur</t>
  </si>
  <si>
    <t>Risque d'élévation de privilèges.</t>
  </si>
  <si>
    <t>ID CT</t>
  </si>
  <si>
    <t>Statut</t>
  </si>
  <si>
    <t>Nb REQ liées</t>
  </si>
  <si>
    <t>Scénario existant</t>
  </si>
  <si>
    <t>ID REQ valides</t>
  </si>
  <si>
    <t>REQ dans le scénario</t>
  </si>
  <si>
    <t>Présent dans Sheet2 (nb)</t>
  </si>
  <si>
    <t>Limite</t>
  </si>
  <si>
    <t>Matrice de traçabilité bidirectionnelle - lignes : exigences (descendante REQ -&gt; CT), colonnes : cas de test (ascendante CT -&gt; REQ). Le 'X' est calculé à partir d'Index_CT.</t>
  </si>
  <si>
    <t>Scénario -&gt;</t>
  </si>
  <si>
    <t>Nb CT (descendante)</t>
  </si>
  <si>
    <t>Nb REQ (ascendante)</t>
  </si>
  <si>
    <t>Répartition</t>
  </si>
  <si>
    <t>Cas de test par priorité</t>
  </si>
  <si>
    <t>Total</t>
  </si>
  <si>
    <t>Cas de test par technique</t>
  </si>
  <si>
    <t>Cas de test par module</t>
  </si>
  <si>
    <t>Couverture = couverture de conception (chaque exigence liée à au moins un cas de test conçu). Aucun test n'a été exécuté.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</si>
</sst>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dd"/>
  </numFmts>
  <fonts count="20" x14ac:knownFonts="1">
    <font>
      <sz val="10"/>
      <color rgb="FF000000"/>
      <name val="Arial"/>
      <charset val="1"/>
    </font>
    <font>
      <sz val="12"/>
      <color theme="1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color theme="1"/>
      <name val="Calibri"/>
      <charset val="1"/>
    </font>
    <font>
      <i/>
      <sz val="9"/>
      <name val="Calibri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family val="2"/>
      <charset val="1"/>
    </font>
    <font>
      <sz val="10"/>
      <name val="Arial"/>
      <family val="2"/>
    </font>
    <font>
      <b/>
      <sz val="11"/>
      <color rgb="FFFFFFFF"/>
      <name val="Calibri"/>
      <charset val="1"/>
    </font>
    <font>
      <b/>
      <sz val="12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b/>
      <sz val="9"/>
      <name val="Calibri"/>
      <charset val="1"/>
    </font>
    <font>
      <b/>
      <sz val="9"/>
      <name val="Arial"/>
      <charset val="1"/>
    </font>
    <font>
      <b/>
      <sz val="11"/>
      <name val="Calibri"/>
      <charset val="1"/>
    </font>
    <font>
      <b/>
      <i/>
      <sz val="11"/>
      <name val="Calibri"/>
      <charset val="1"/>
    </font>
  </fonts>
  <fills count="22">
    <fill>
      <patternFill patternType="none"/>
    </fill>
    <fill>
      <patternFill patternType="gray125"/>
    </fill>
    <fill>
      <patternFill patternType="solid">
        <fgColor rgb="FFC5E0B3"/>
        <bgColor rgb="FFC6EFCE"/>
      </patternFill>
    </fill>
    <fill>
      <patternFill patternType="solid">
        <fgColor rgb="FFE2EFD9"/>
        <bgColor rgb="FFE2EFDA"/>
      </patternFill>
    </fill>
    <fill>
      <patternFill patternType="solid">
        <fgColor rgb="FF70AD47"/>
        <bgColor rgb="FF339966"/>
      </patternFill>
    </fill>
    <fill>
      <patternFill patternType="solid">
        <fgColor rgb="FFFFFFFF"/>
        <bgColor rgb="FFFFF2CC"/>
      </patternFill>
    </fill>
    <fill>
      <patternFill patternType="solid">
        <fgColor rgb="FFE6B8AF"/>
        <bgColor rgb="FFD5A6BD"/>
      </patternFill>
    </fill>
    <fill>
      <patternFill patternType="solid">
        <fgColor rgb="FFF4CCCC"/>
        <bgColor rgb="FFFFC7CE"/>
      </patternFill>
    </fill>
    <fill>
      <patternFill patternType="solid">
        <fgColor rgb="FFFCE5CD"/>
        <bgColor rgb="FFFCE4D6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2EFD9"/>
      </patternFill>
    </fill>
    <fill>
      <patternFill patternType="solid">
        <fgColor rgb="FFD0E0E3"/>
        <bgColor rgb="FFCFE2F3"/>
      </patternFill>
    </fill>
    <fill>
      <patternFill patternType="solid">
        <fgColor rgb="FFC9DAF8"/>
        <bgColor rgb="FFCFE2F3"/>
      </patternFill>
    </fill>
    <fill>
      <patternFill patternType="solid">
        <fgColor rgb="FFCFE2F3"/>
        <bgColor rgb="FFD0E0E3"/>
      </patternFill>
    </fill>
    <fill>
      <patternFill patternType="solid">
        <fgColor rgb="FFD9D2E9"/>
        <bgColor rgb="FFEAD1DC"/>
      </patternFill>
    </fill>
    <fill>
      <patternFill patternType="solid">
        <fgColor rgb="FFEAD1DC"/>
        <bgColor rgb="FFF4CCCC"/>
      </patternFill>
    </fill>
    <fill>
      <patternFill patternType="solid">
        <fgColor rgb="FFD5A6BD"/>
        <bgColor rgb="FFE6B8AF"/>
      </patternFill>
    </fill>
    <fill>
      <patternFill patternType="solid">
        <fgColor rgb="FFE2EFDA"/>
        <bgColor rgb="FFE2EFD9"/>
      </patternFill>
    </fill>
    <fill>
      <patternFill patternType="solid">
        <fgColor rgb="FFFCE4D6"/>
        <bgColor rgb="FFFCE5CD"/>
      </patternFill>
    </fill>
    <fill>
      <patternFill patternType="solid">
        <fgColor rgb="FFF8CBAD"/>
        <bgColor rgb="FFF4CCCC"/>
      </patternFill>
    </fill>
    <fill>
      <patternFill patternType="solid">
        <fgColor rgb="FFD9E1F2"/>
        <bgColor rgb="FFCFE2F3"/>
      </patternFill>
    </fill>
    <fill>
      <patternFill patternType="solid">
        <fgColor rgb="FF305496"/>
        <bgColor rgb="FF66669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8" fillId="0" borderId="0" xfId="0" applyFont="1"/>
    <xf numFmtId="0" fontId="10" fillId="11" borderId="2" xfId="0" applyFont="1" applyFill="1" applyBorder="1" applyAlignment="1">
      <alignment vertical="top" wrapText="1"/>
    </xf>
    <xf numFmtId="0" fontId="9" fillId="20" borderId="2" xfId="0" applyFont="1" applyFill="1" applyBorder="1" applyAlignment="1">
      <alignment vertical="top" wrapText="1"/>
    </xf>
    <xf numFmtId="0" fontId="9" fillId="19" borderId="2" xfId="0" applyFont="1" applyFill="1" applyBorder="1" applyAlignment="1">
      <alignment horizontal="center" vertical="center" wrapText="1"/>
    </xf>
    <xf numFmtId="0" fontId="9" fillId="18" borderId="2" xfId="0" applyFont="1" applyFill="1" applyBorder="1" applyAlignment="1">
      <alignment vertical="top" wrapText="1"/>
    </xf>
    <xf numFmtId="0" fontId="9" fillId="17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vertical="top" wrapText="1"/>
    </xf>
    <xf numFmtId="0" fontId="9" fillId="11" borderId="2" xfId="0" applyFont="1" applyFill="1" applyBorder="1" applyAlignment="1">
      <alignment vertical="top" wrapText="1"/>
    </xf>
    <xf numFmtId="0" fontId="9" fillId="10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vertical="top" wrapText="1"/>
    </xf>
    <xf numFmtId="0" fontId="9" fillId="8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5" borderId="1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vertical="top" wrapText="1"/>
    </xf>
    <xf numFmtId="0" fontId="10" fillId="15" borderId="2" xfId="0" applyFont="1" applyFill="1" applyBorder="1" applyAlignment="1">
      <alignment vertical="top" wrapText="1"/>
    </xf>
    <xf numFmtId="0" fontId="9" fillId="16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vertical="top" wrapText="1"/>
    </xf>
    <xf numFmtId="0" fontId="9" fillId="15" borderId="2" xfId="0" applyFont="1" applyFill="1" applyBorder="1" applyAlignment="1">
      <alignment vertical="top" wrapText="1"/>
    </xf>
    <xf numFmtId="0" fontId="10" fillId="14" borderId="2" xfId="0" applyFont="1" applyFill="1" applyBorder="1" applyAlignment="1">
      <alignment vertical="top" wrapText="1"/>
    </xf>
    <xf numFmtId="0" fontId="12" fillId="21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top" wrapText="1"/>
    </xf>
    <xf numFmtId="0" fontId="13" fillId="0" borderId="0" xfId="0" applyFont="1"/>
    <xf numFmtId="0" fontId="14" fillId="21" borderId="2" xfId="0" applyFont="1" applyFill="1" applyBorder="1" applyAlignment="1">
      <alignment horizontal="center" vertical="center" wrapText="1"/>
    </xf>
    <xf numFmtId="0" fontId="15" fillId="21" borderId="2" xfId="0" applyFont="1" applyFill="1" applyBorder="1" applyAlignment="1">
      <alignment horizontal="center" vertical="center" wrapText="1"/>
    </xf>
    <xf numFmtId="0" fontId="16" fillId="20" borderId="2" xfId="0" applyFont="1" applyFill="1" applyBorder="1" applyAlignment="1">
      <alignment horizontal="center" vertical="center" textRotation="90"/>
    </xf>
    <xf numFmtId="0" fontId="17" fillId="0" borderId="2" xfId="0" applyFont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9" fillId="0" borderId="0" xfId="0" applyFont="1"/>
    <xf numFmtId="0" fontId="8" fillId="0" borderId="2" xfId="0" applyFont="1" applyBorder="1" applyAlignment="1">
      <alignment vertical="top" wrapText="1"/>
    </xf>
    <xf numFmtId="165" fontId="3" fillId="3" borderId="0" xfId="0" applyNumberFormat="1" applyFont="1" applyFill="1" applyAlignment="1">
      <alignment horizontal="left" vertical="center"/>
    </xf>
    <xf numFmtId="0" fontId="9" fillId="18" borderId="2" xfId="0" applyFont="1" applyFill="1" applyBorder="1" applyAlignment="1">
      <alignment vertical="top" wrapText="1"/>
    </xf>
    <xf numFmtId="0" fontId="9" fillId="9" borderId="2" xfId="0" applyFont="1" applyFill="1" applyBorder="1" applyAlignment="1">
      <alignment vertical="top" wrapText="1"/>
    </xf>
    <xf numFmtId="0" fontId="9" fillId="19" borderId="2" xfId="0" applyFont="1" applyFill="1" applyBorder="1" applyAlignment="1">
      <alignment horizontal="center" vertical="center" wrapText="1"/>
    </xf>
    <xf numFmtId="0" fontId="9" fillId="20" borderId="2" xfId="0" applyFont="1" applyFill="1" applyBorder="1" applyAlignment="1">
      <alignment vertical="top" wrapText="1"/>
    </xf>
    <xf numFmtId="0" fontId="9" fillId="8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vertical="top" wrapText="1"/>
    </xf>
    <xf numFmtId="0" fontId="9" fillId="13" borderId="2" xfId="0" applyFont="1" applyFill="1" applyBorder="1" applyAlignment="1">
      <alignment vertical="top" wrapText="1"/>
    </xf>
    <xf numFmtId="0" fontId="9" fillId="17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vertical="top" wrapText="1"/>
    </xf>
    <xf numFmtId="0" fontId="18" fillId="0" borderId="0" xfId="0" applyFont="1"/>
  </cellXfs>
  <cellStyles count="1">
    <cellStyle name="Normal" xfId="0" builtinId="0"/>
  </cellStyles>
  <dxfs count="12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1"/>
        <scheme val="none"/>
      </font>
      <fill>
        <patternFill patternType="solid">
          <fgColor rgb="FF339966"/>
          <bgColor rgb="FF70AD47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1"/>
        <scheme val="none"/>
      </font>
      <fill>
        <patternFill patternType="solid">
          <fgColor rgb="FF339966"/>
          <bgColor rgb="FF70AD47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E4D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8AF"/>
      <rgbColor rgb="FFD9E1F2"/>
      <rgbColor rgb="FFD9D2E9"/>
      <rgbColor rgb="FF993366"/>
      <rgbColor rgb="FFFFF2CC"/>
      <rgbColor rgb="FFE2EFDA"/>
      <rgbColor rgb="FF660066"/>
      <rgbColor rgb="FFF4CCCC"/>
      <rgbColor rgb="FF0066CC"/>
      <rgbColor rgb="FFC9DAF8"/>
      <rgbColor rgb="FF000080"/>
      <rgbColor rgb="FFFF00FF"/>
      <rgbColor rgb="FFD9EAD3"/>
      <rgbColor rgb="FF00FFFF"/>
      <rgbColor rgb="FF800080"/>
      <rgbColor rgb="FF800000"/>
      <rgbColor rgb="FF008080"/>
      <rgbColor rgb="FF0000FF"/>
      <rgbColor rgb="FF00CCFF"/>
      <rgbColor rgb="FFE2EFD9"/>
      <rgbColor rgb="FFC6EFCE"/>
      <rgbColor rgb="FFFCE5CD"/>
      <rgbColor rgb="FFCFE2F3"/>
      <rgbColor rgb="FFFFC7CE"/>
      <rgbColor rgb="FFD5A6BD"/>
      <rgbColor rgb="FFF8CBAD"/>
      <rgbColor rgb="FF3366FF"/>
      <rgbColor rgb="FFD0E0E3"/>
      <rgbColor rgb="FFC5E0B3"/>
      <rgbColor rgb="FFFFC000"/>
      <rgbColor rgb="FFEAD1DC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B14" headerRowCount="0" totalsRowCount="1">
  <tableColumns count="2">
    <tableColumn id="1" xr3:uid="{00000000-0010-0000-0000-000001000000}" name="Column1" totalsRowLabel="Version Windows" totalsRowDxfId="11"/>
    <tableColumn id="2" xr3:uid="{00000000-0010-0000-0000-000002000000}" name="Column2" totalsRowLabel="Windows  11" totalsRowDxf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6"/>
  <sheetViews>
    <sheetView zoomScaleNormal="100" workbookViewId="0">
      <selection activeCell="B5" sqref="B5"/>
    </sheetView>
  </sheetViews>
  <sheetFormatPr baseColWidth="10" defaultColWidth="12.6640625" defaultRowHeight="13.2" x14ac:dyDescent="0.25"/>
  <cols>
    <col min="1" max="1" width="22" customWidth="1"/>
    <col min="2" max="2" width="101.33203125" customWidth="1"/>
  </cols>
  <sheetData>
    <row r="3" spans="1:3" s="15" customFormat="1" ht="27.75" customHeight="1" x14ac:dyDescent="0.25">
      <c r="A3" s="12" t="s">
        <v>0</v>
      </c>
      <c r="B3" s="13" t="s">
        <v>1</v>
      </c>
      <c r="C3" s="14"/>
    </row>
    <row r="4" spans="1:3" s="15" customFormat="1" ht="27.75" customHeight="1" x14ac:dyDescent="0.25">
      <c r="A4" s="16" t="s">
        <v>2</v>
      </c>
      <c r="B4" s="43">
        <v>46316</v>
      </c>
      <c r="C4" s="14"/>
    </row>
    <row r="5" spans="1:3" s="15" customFormat="1" ht="27.75" customHeight="1" x14ac:dyDescent="0.25">
      <c r="A5" s="12" t="s">
        <v>3</v>
      </c>
      <c r="B5" s="17" t="s">
        <v>4</v>
      </c>
      <c r="C5" s="14"/>
    </row>
    <row r="6" spans="1:3" s="15" customFormat="1" ht="27.75" customHeight="1" x14ac:dyDescent="0.25">
      <c r="A6" s="16" t="s">
        <v>5</v>
      </c>
      <c r="B6" s="18" t="s">
        <v>6</v>
      </c>
      <c r="C6" s="14"/>
    </row>
    <row r="7" spans="1:3" s="15" customFormat="1" ht="27.75" customHeight="1" x14ac:dyDescent="0.25">
      <c r="A7" s="12" t="s">
        <v>7</v>
      </c>
      <c r="B7" s="13" t="s">
        <v>8</v>
      </c>
      <c r="C7" s="14"/>
    </row>
    <row r="8" spans="1:3" s="15" customFormat="1" ht="27.75" customHeight="1" x14ac:dyDescent="0.25">
      <c r="A8" s="16" t="s">
        <v>9</v>
      </c>
      <c r="B8" s="19" t="s">
        <v>10</v>
      </c>
      <c r="C8" s="14"/>
    </row>
    <row r="9" spans="1:3" s="15" customFormat="1" ht="27.75" customHeight="1" x14ac:dyDescent="0.25">
      <c r="A9" s="12" t="s">
        <v>11</v>
      </c>
      <c r="B9" s="13" t="s">
        <v>12</v>
      </c>
      <c r="C9" s="14"/>
    </row>
    <row r="10" spans="1:3" s="15" customFormat="1" ht="27.75" customHeight="1" x14ac:dyDescent="0.25">
      <c r="A10" s="16" t="s">
        <v>13</v>
      </c>
      <c r="B10" s="19" t="s">
        <v>12</v>
      </c>
      <c r="C10" s="14"/>
    </row>
    <row r="11" spans="1:3" s="15" customFormat="1" ht="27.75" customHeight="1" x14ac:dyDescent="0.25">
      <c r="A11" s="12" t="s">
        <v>14</v>
      </c>
      <c r="B11" s="13" t="s">
        <v>15</v>
      </c>
      <c r="C11" s="14"/>
    </row>
    <row r="12" spans="1:3" s="15" customFormat="1" ht="27.75" customHeight="1" x14ac:dyDescent="0.25">
      <c r="A12" s="16" t="s">
        <v>16</v>
      </c>
      <c r="B12" s="19" t="s">
        <v>17</v>
      </c>
      <c r="C12" s="14"/>
    </row>
    <row r="13" spans="1:3" s="15" customFormat="1" ht="26.25" customHeight="1" x14ac:dyDescent="0.25">
      <c r="A13" s="12" t="s">
        <v>18</v>
      </c>
      <c r="B13" s="13" t="s">
        <v>19</v>
      </c>
      <c r="C13" s="14"/>
    </row>
    <row r="14" spans="1:3" ht="26.25" customHeight="1" x14ac:dyDescent="0.3">
      <c r="A14" s="20" t="s">
        <v>20</v>
      </c>
      <c r="B14" s="21" t="s">
        <v>21</v>
      </c>
      <c r="C14" s="22"/>
    </row>
    <row r="15" spans="1:3" ht="14.25" customHeight="1" x14ac:dyDescent="0.3">
      <c r="A15" s="22"/>
      <c r="B15" s="22"/>
      <c r="C15" s="22"/>
    </row>
    <row r="16" spans="1:3" x14ac:dyDescent="0.25">
      <c r="A16" s="23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1"/>
  <sheetViews>
    <sheetView zoomScaleNormal="100" workbookViewId="0">
      <pane xSplit="3" ySplit="1" topLeftCell="J64" activePane="bottomRight" state="frozen"/>
      <selection pane="topRight" activeCell="D1" sqref="D1"/>
      <selection pane="bottomLeft" activeCell="A2" sqref="A2"/>
      <selection pane="bottomRight" activeCell="N71" sqref="N71"/>
    </sheetView>
  </sheetViews>
  <sheetFormatPr baseColWidth="10" defaultColWidth="12.6640625" defaultRowHeight="13.2" x14ac:dyDescent="0.25"/>
  <cols>
    <col min="1" max="1" width="13" customWidth="1"/>
    <col min="2" max="2" width="20" customWidth="1"/>
    <col min="3" max="3" width="10" customWidth="1"/>
    <col min="4" max="4" width="32" customWidth="1"/>
    <col min="5" max="5" width="12" customWidth="1"/>
    <col min="6" max="6" width="40" customWidth="1"/>
    <col min="7" max="7" width="9" customWidth="1"/>
    <col min="8" max="8" width="42" customWidth="1"/>
    <col min="9" max="9" width="44" customWidth="1"/>
    <col min="10" max="10" width="42" customWidth="1"/>
    <col min="11" max="11" width="50" customWidth="1"/>
    <col min="12" max="12" width="12" customWidth="1"/>
    <col min="13" max="13" width="16" customWidth="1"/>
    <col min="14" max="14" width="12" customWidth="1"/>
    <col min="15" max="15" width="36" customWidth="1"/>
    <col min="16" max="16" width="10" customWidth="1"/>
    <col min="17" max="17" width="26" customWidth="1"/>
  </cols>
  <sheetData>
    <row r="1" spans="1:25" ht="28.5" customHeight="1" thickBot="1" x14ac:dyDescent="0.35">
      <c r="A1" s="24" t="s">
        <v>22</v>
      </c>
      <c r="B1" s="24" t="s">
        <v>23</v>
      </c>
      <c r="C1" s="24" t="s">
        <v>24</v>
      </c>
      <c r="D1" s="24" t="s">
        <v>25</v>
      </c>
      <c r="E1" s="24" t="s">
        <v>26</v>
      </c>
      <c r="F1" s="24" t="s">
        <v>27</v>
      </c>
      <c r="G1" s="24" t="s">
        <v>28</v>
      </c>
      <c r="H1" s="24" t="s">
        <v>29</v>
      </c>
      <c r="I1" s="24" t="s">
        <v>30</v>
      </c>
      <c r="J1" s="24" t="s">
        <v>31</v>
      </c>
      <c r="K1" s="24" t="s">
        <v>32</v>
      </c>
      <c r="L1" s="24" t="s">
        <v>33</v>
      </c>
      <c r="M1" s="24" t="s">
        <v>34</v>
      </c>
      <c r="N1" s="24" t="s">
        <v>35</v>
      </c>
      <c r="O1" s="24" t="s">
        <v>36</v>
      </c>
      <c r="P1" s="24" t="s">
        <v>37</v>
      </c>
      <c r="Q1" s="24" t="s">
        <v>38</v>
      </c>
      <c r="R1" s="22"/>
      <c r="S1" s="22"/>
      <c r="T1" s="22"/>
      <c r="U1" s="22"/>
      <c r="V1" s="22"/>
      <c r="W1" s="22"/>
      <c r="X1" s="22"/>
      <c r="Y1" s="22"/>
    </row>
    <row r="2" spans="1:25" ht="24" customHeight="1" x14ac:dyDescent="0.25">
      <c r="A2" s="55" t="s">
        <v>39</v>
      </c>
      <c r="B2" s="54" t="s">
        <v>40</v>
      </c>
      <c r="C2" s="48" t="s">
        <v>41</v>
      </c>
      <c r="D2" s="45" t="s">
        <v>42</v>
      </c>
      <c r="E2" s="50" t="s">
        <v>43</v>
      </c>
      <c r="F2" s="51" t="s">
        <v>44</v>
      </c>
      <c r="G2" s="25">
        <v>1</v>
      </c>
      <c r="H2" s="7" t="s">
        <v>45</v>
      </c>
      <c r="I2" s="52" t="s">
        <v>46</v>
      </c>
      <c r="J2" s="26" t="s">
        <v>47</v>
      </c>
      <c r="K2" s="27" t="s">
        <v>48</v>
      </c>
      <c r="L2" s="28" t="s">
        <v>49</v>
      </c>
      <c r="M2" s="45" t="s">
        <v>50</v>
      </c>
      <c r="N2" s="53" t="s">
        <v>51</v>
      </c>
      <c r="O2" s="44" t="s">
        <v>52</v>
      </c>
      <c r="P2" s="46" t="s">
        <v>53</v>
      </c>
      <c r="Q2" s="47" t="s">
        <v>54</v>
      </c>
    </row>
    <row r="3" spans="1:25" ht="31.5" customHeight="1" x14ac:dyDescent="0.25">
      <c r="A3" s="56"/>
      <c r="B3" s="49"/>
      <c r="C3" s="49"/>
      <c r="D3" s="49"/>
      <c r="E3" s="49"/>
      <c r="F3" s="49"/>
      <c r="G3" s="25">
        <v>2</v>
      </c>
      <c r="H3" s="7" t="s">
        <v>55</v>
      </c>
      <c r="I3" s="52"/>
      <c r="J3" s="26" t="s">
        <v>56</v>
      </c>
      <c r="K3" s="27" t="s">
        <v>57</v>
      </c>
      <c r="L3" s="28" t="s">
        <v>49</v>
      </c>
      <c r="M3" s="45"/>
      <c r="N3" s="45"/>
      <c r="O3" s="45"/>
      <c r="P3" s="45"/>
      <c r="Q3" s="45"/>
    </row>
    <row r="4" spans="1:25" ht="43.5" customHeight="1" x14ac:dyDescent="0.25">
      <c r="A4" s="56"/>
      <c r="B4" s="49"/>
      <c r="C4" s="48"/>
      <c r="D4" s="48"/>
      <c r="E4" s="48"/>
      <c r="F4" s="48"/>
      <c r="G4" s="25">
        <v>3</v>
      </c>
      <c r="H4" s="7" t="s">
        <v>58</v>
      </c>
      <c r="I4" s="52"/>
      <c r="J4" s="26" t="s">
        <v>59</v>
      </c>
      <c r="K4" s="27" t="s">
        <v>60</v>
      </c>
      <c r="L4" s="28" t="s">
        <v>49</v>
      </c>
      <c r="M4" s="45"/>
      <c r="N4" s="45"/>
      <c r="O4" s="45"/>
      <c r="P4" s="45"/>
      <c r="Q4" s="45"/>
    </row>
    <row r="5" spans="1:25" ht="24" customHeight="1" x14ac:dyDescent="0.25">
      <c r="A5" s="56"/>
      <c r="B5" s="49"/>
      <c r="C5" s="48" t="s">
        <v>61</v>
      </c>
      <c r="D5" s="45" t="s">
        <v>62</v>
      </c>
      <c r="E5" s="50" t="s">
        <v>43</v>
      </c>
      <c r="F5" s="51" t="s">
        <v>44</v>
      </c>
      <c r="G5" s="25">
        <v>1</v>
      </c>
      <c r="H5" s="7" t="s">
        <v>45</v>
      </c>
      <c r="I5" s="52" t="s">
        <v>63</v>
      </c>
      <c r="J5" s="26" t="s">
        <v>64</v>
      </c>
      <c r="K5" s="27" t="s">
        <v>48</v>
      </c>
      <c r="L5" s="28" t="s">
        <v>49</v>
      </c>
      <c r="M5" s="45" t="s">
        <v>65</v>
      </c>
      <c r="N5" s="53" t="s">
        <v>66</v>
      </c>
      <c r="O5" s="44" t="s">
        <v>67</v>
      </c>
      <c r="P5" s="46" t="s">
        <v>53</v>
      </c>
      <c r="Q5" s="47" t="s">
        <v>54</v>
      </c>
    </row>
    <row r="6" spans="1:25" ht="24" customHeight="1" x14ac:dyDescent="0.25">
      <c r="A6" s="56"/>
      <c r="B6" s="49"/>
      <c r="C6" s="49"/>
      <c r="D6" s="49"/>
      <c r="E6" s="49"/>
      <c r="F6" s="49"/>
      <c r="G6" s="25">
        <v>2</v>
      </c>
      <c r="H6" s="7" t="s">
        <v>68</v>
      </c>
      <c r="I6" s="52"/>
      <c r="J6" s="26" t="s">
        <v>69</v>
      </c>
      <c r="K6" s="27" t="s">
        <v>57</v>
      </c>
      <c r="L6" s="28" t="s">
        <v>49</v>
      </c>
      <c r="M6" s="45"/>
      <c r="N6" s="45"/>
      <c r="O6" s="45"/>
      <c r="P6" s="45"/>
      <c r="Q6" s="45"/>
    </row>
    <row r="7" spans="1:25" ht="43.5" customHeight="1" x14ac:dyDescent="0.25">
      <c r="A7" s="56"/>
      <c r="B7" s="49"/>
      <c r="C7" s="48"/>
      <c r="D7" s="48"/>
      <c r="E7" s="48"/>
      <c r="F7" s="48"/>
      <c r="G7" s="25">
        <v>3</v>
      </c>
      <c r="H7" s="7" t="s">
        <v>58</v>
      </c>
      <c r="I7" s="52"/>
      <c r="J7" s="26" t="s">
        <v>70</v>
      </c>
      <c r="K7" s="27" t="s">
        <v>71</v>
      </c>
      <c r="L7" s="28" t="s">
        <v>49</v>
      </c>
      <c r="M7" s="45"/>
      <c r="N7" s="45"/>
      <c r="O7" s="45"/>
      <c r="P7" s="45"/>
      <c r="Q7" s="45"/>
    </row>
    <row r="8" spans="1:25" ht="24" customHeight="1" x14ac:dyDescent="0.25">
      <c r="A8" s="56"/>
      <c r="B8" s="49"/>
      <c r="C8" s="48" t="s">
        <v>72</v>
      </c>
      <c r="D8" s="45" t="s">
        <v>73</v>
      </c>
      <c r="E8" s="50" t="s">
        <v>43</v>
      </c>
      <c r="F8" s="51" t="s">
        <v>44</v>
      </c>
      <c r="G8" s="25">
        <v>1</v>
      </c>
      <c r="H8" s="29" t="s">
        <v>74</v>
      </c>
      <c r="I8" s="52" t="s">
        <v>75</v>
      </c>
      <c r="J8" s="26" t="s">
        <v>64</v>
      </c>
      <c r="K8" s="27" t="s">
        <v>76</v>
      </c>
      <c r="L8" s="28" t="s">
        <v>49</v>
      </c>
      <c r="M8" s="45" t="s">
        <v>65</v>
      </c>
      <c r="N8" s="53" t="s">
        <v>66</v>
      </c>
      <c r="O8" s="44" t="s">
        <v>77</v>
      </c>
      <c r="P8" s="46" t="s">
        <v>53</v>
      </c>
      <c r="Q8" s="47" t="s">
        <v>54</v>
      </c>
    </row>
    <row r="9" spans="1:25" ht="24" customHeight="1" x14ac:dyDescent="0.25">
      <c r="A9" s="56"/>
      <c r="B9" s="49"/>
      <c r="C9" s="49"/>
      <c r="D9" s="49"/>
      <c r="E9" s="49"/>
      <c r="F9" s="49"/>
      <c r="G9" s="25">
        <v>2</v>
      </c>
      <c r="H9" s="7" t="s">
        <v>55</v>
      </c>
      <c r="I9" s="52"/>
      <c r="J9" s="26" t="s">
        <v>69</v>
      </c>
      <c r="K9" s="30" t="s">
        <v>57</v>
      </c>
      <c r="L9" s="28" t="s">
        <v>49</v>
      </c>
      <c r="M9" s="45"/>
      <c r="N9" s="45"/>
      <c r="O9" s="45"/>
      <c r="P9" s="45"/>
      <c r="Q9" s="45"/>
    </row>
    <row r="10" spans="1:25" ht="31.5" customHeight="1" x14ac:dyDescent="0.25">
      <c r="A10" s="56"/>
      <c r="B10" s="49"/>
      <c r="C10" s="48"/>
      <c r="D10" s="48"/>
      <c r="E10" s="48"/>
      <c r="F10" s="48"/>
      <c r="G10" s="25">
        <v>3</v>
      </c>
      <c r="H10" s="7" t="s">
        <v>58</v>
      </c>
      <c r="I10" s="52"/>
      <c r="J10" s="26" t="s">
        <v>78</v>
      </c>
      <c r="K10" s="27" t="s">
        <v>71</v>
      </c>
      <c r="L10" s="28" t="s">
        <v>49</v>
      </c>
      <c r="M10" s="45"/>
      <c r="N10" s="45"/>
      <c r="O10" s="45"/>
      <c r="P10" s="45"/>
      <c r="Q10" s="45"/>
    </row>
    <row r="11" spans="1:25" ht="24" customHeight="1" x14ac:dyDescent="0.25">
      <c r="A11" s="56"/>
      <c r="B11" s="49"/>
      <c r="C11" s="48" t="s">
        <v>79</v>
      </c>
      <c r="D11" s="45" t="s">
        <v>80</v>
      </c>
      <c r="E11" s="50" t="s">
        <v>43</v>
      </c>
      <c r="F11" s="51" t="s">
        <v>44</v>
      </c>
      <c r="G11" s="25">
        <v>1</v>
      </c>
      <c r="H11" s="7" t="s">
        <v>45</v>
      </c>
      <c r="I11" s="52" t="s">
        <v>81</v>
      </c>
      <c r="J11" s="26" t="s">
        <v>64</v>
      </c>
      <c r="K11" s="27" t="s">
        <v>48</v>
      </c>
      <c r="L11" s="28" t="s">
        <v>49</v>
      </c>
      <c r="M11" s="45" t="s">
        <v>65</v>
      </c>
      <c r="N11" s="53" t="s">
        <v>66</v>
      </c>
      <c r="O11" s="44" t="s">
        <v>82</v>
      </c>
      <c r="P11" s="46" t="s">
        <v>83</v>
      </c>
      <c r="Q11" s="47" t="s">
        <v>84</v>
      </c>
    </row>
    <row r="12" spans="1:25" ht="24" customHeight="1" x14ac:dyDescent="0.25">
      <c r="A12" s="56"/>
      <c r="B12" s="49"/>
      <c r="C12" s="49"/>
      <c r="D12" s="49"/>
      <c r="E12" s="49"/>
      <c r="F12" s="49"/>
      <c r="G12" s="25">
        <v>2</v>
      </c>
      <c r="H12" s="7" t="s">
        <v>85</v>
      </c>
      <c r="I12" s="52"/>
      <c r="J12" s="26" t="s">
        <v>69</v>
      </c>
      <c r="K12" s="27" t="s">
        <v>57</v>
      </c>
      <c r="L12" s="28" t="s">
        <v>49</v>
      </c>
      <c r="M12" s="45"/>
      <c r="N12" s="45"/>
      <c r="O12" s="45"/>
      <c r="P12" s="45"/>
      <c r="Q12" s="45"/>
    </row>
    <row r="13" spans="1:25" ht="31.5" customHeight="1" x14ac:dyDescent="0.25">
      <c r="A13" s="56"/>
      <c r="B13" s="49"/>
      <c r="C13" s="48"/>
      <c r="D13" s="48"/>
      <c r="E13" s="48"/>
      <c r="F13" s="48"/>
      <c r="G13" s="25">
        <v>3</v>
      </c>
      <c r="H13" s="7" t="s">
        <v>58</v>
      </c>
      <c r="I13" s="52"/>
      <c r="J13" s="26" t="s">
        <v>86</v>
      </c>
      <c r="K13" s="27" t="s">
        <v>71</v>
      </c>
      <c r="L13" s="28" t="s">
        <v>49</v>
      </c>
      <c r="M13" s="45"/>
      <c r="N13" s="45"/>
      <c r="O13" s="45"/>
      <c r="P13" s="45"/>
      <c r="Q13" s="45"/>
    </row>
    <row r="14" spans="1:25" ht="31.5" customHeight="1" x14ac:dyDescent="0.25">
      <c r="A14" s="56"/>
      <c r="B14" s="49"/>
      <c r="C14" s="48" t="s">
        <v>87</v>
      </c>
      <c r="D14" s="45" t="s">
        <v>88</v>
      </c>
      <c r="E14" s="50" t="s">
        <v>43</v>
      </c>
      <c r="F14" s="51" t="s">
        <v>44</v>
      </c>
      <c r="G14" s="25">
        <v>1</v>
      </c>
      <c r="H14" s="7" t="s">
        <v>89</v>
      </c>
      <c r="I14" s="52" t="s">
        <v>90</v>
      </c>
      <c r="J14" s="26" t="s">
        <v>69</v>
      </c>
      <c r="K14" s="27" t="s">
        <v>91</v>
      </c>
      <c r="L14" s="28" t="s">
        <v>49</v>
      </c>
      <c r="M14" s="45" t="s">
        <v>92</v>
      </c>
      <c r="N14" s="53" t="s">
        <v>93</v>
      </c>
      <c r="O14" s="44" t="s">
        <v>94</v>
      </c>
      <c r="P14" s="46" t="s">
        <v>53</v>
      </c>
      <c r="Q14" s="47" t="s">
        <v>54</v>
      </c>
    </row>
    <row r="15" spans="1:25" ht="43.5" customHeight="1" x14ac:dyDescent="0.25">
      <c r="A15" s="56"/>
      <c r="B15" s="49"/>
      <c r="C15" s="48"/>
      <c r="D15" s="48"/>
      <c r="E15" s="48"/>
      <c r="F15" s="48"/>
      <c r="G15" s="25">
        <v>2</v>
      </c>
      <c r="H15" s="7" t="s">
        <v>58</v>
      </c>
      <c r="I15" s="52"/>
      <c r="J15" s="26" t="s">
        <v>95</v>
      </c>
      <c r="K15" s="27" t="s">
        <v>96</v>
      </c>
      <c r="L15" s="28" t="s">
        <v>49</v>
      </c>
      <c r="M15" s="45"/>
      <c r="N15" s="45"/>
      <c r="O15" s="45"/>
      <c r="P15" s="45"/>
      <c r="Q15" s="45"/>
    </row>
    <row r="16" spans="1:25" ht="31.5" customHeight="1" x14ac:dyDescent="0.25">
      <c r="A16" s="56"/>
      <c r="B16" s="49"/>
      <c r="C16" s="48" t="s">
        <v>97</v>
      </c>
      <c r="D16" s="45" t="s">
        <v>98</v>
      </c>
      <c r="E16" s="50" t="s">
        <v>43</v>
      </c>
      <c r="F16" s="51" t="s">
        <v>44</v>
      </c>
      <c r="G16" s="25">
        <v>1</v>
      </c>
      <c r="H16" s="7" t="s">
        <v>99</v>
      </c>
      <c r="I16" s="52" t="s">
        <v>100</v>
      </c>
      <c r="J16" s="26" t="s">
        <v>64</v>
      </c>
      <c r="K16" s="27" t="s">
        <v>101</v>
      </c>
      <c r="L16" s="28" t="s">
        <v>49</v>
      </c>
      <c r="M16" s="45" t="s">
        <v>92</v>
      </c>
      <c r="N16" s="53" t="s">
        <v>93</v>
      </c>
      <c r="O16" s="44" t="s">
        <v>102</v>
      </c>
      <c r="P16" s="46" t="s">
        <v>53</v>
      </c>
      <c r="Q16" s="47" t="s">
        <v>54</v>
      </c>
    </row>
    <row r="17" spans="1:17" ht="31.5" customHeight="1" x14ac:dyDescent="0.25">
      <c r="A17" s="56"/>
      <c r="B17" s="49"/>
      <c r="C17" s="48"/>
      <c r="D17" s="48"/>
      <c r="E17" s="48"/>
      <c r="F17" s="48"/>
      <c r="G17" s="25">
        <v>2</v>
      </c>
      <c r="H17" s="7" t="s">
        <v>58</v>
      </c>
      <c r="I17" s="52"/>
      <c r="J17" s="31" t="s">
        <v>103</v>
      </c>
      <c r="K17" s="27" t="s">
        <v>103</v>
      </c>
      <c r="L17" s="28" t="s">
        <v>49</v>
      </c>
      <c r="M17" s="45"/>
      <c r="N17" s="45"/>
      <c r="O17" s="45"/>
      <c r="P17" s="45"/>
      <c r="Q17" s="45"/>
    </row>
    <row r="18" spans="1:17" ht="43.5" customHeight="1" x14ac:dyDescent="0.25">
      <c r="A18" s="56"/>
      <c r="B18" s="49"/>
      <c r="C18" s="11" t="s">
        <v>104</v>
      </c>
      <c r="D18" s="10" t="s">
        <v>105</v>
      </c>
      <c r="E18" s="9" t="s">
        <v>43</v>
      </c>
      <c r="F18" s="8" t="s">
        <v>44</v>
      </c>
      <c r="G18" s="25">
        <v>1</v>
      </c>
      <c r="H18" s="7" t="s">
        <v>106</v>
      </c>
      <c r="I18" s="7" t="s">
        <v>107</v>
      </c>
      <c r="J18" s="31" t="s">
        <v>108</v>
      </c>
      <c r="K18" s="27" t="s">
        <v>109</v>
      </c>
      <c r="L18" s="28" t="s">
        <v>49</v>
      </c>
      <c r="M18" s="10" t="s">
        <v>92</v>
      </c>
      <c r="N18" s="6" t="s">
        <v>93</v>
      </c>
      <c r="O18" s="5" t="s">
        <v>110</v>
      </c>
      <c r="P18" s="4" t="s">
        <v>83</v>
      </c>
      <c r="Q18" s="3" t="s">
        <v>54</v>
      </c>
    </row>
    <row r="19" spans="1:17" ht="31.5" customHeight="1" x14ac:dyDescent="0.25">
      <c r="A19" s="56"/>
      <c r="B19" s="49"/>
      <c r="C19" s="48" t="s">
        <v>111</v>
      </c>
      <c r="D19" s="45" t="s">
        <v>112</v>
      </c>
      <c r="E19" s="50" t="s">
        <v>43</v>
      </c>
      <c r="F19" s="51" t="s">
        <v>113</v>
      </c>
      <c r="G19" s="25">
        <v>1</v>
      </c>
      <c r="H19" s="7" t="s">
        <v>114</v>
      </c>
      <c r="I19" s="52" t="s">
        <v>115</v>
      </c>
      <c r="J19" s="26" t="s">
        <v>116</v>
      </c>
      <c r="K19" s="27" t="s">
        <v>117</v>
      </c>
      <c r="L19" s="28" t="s">
        <v>49</v>
      </c>
      <c r="M19" s="45" t="s">
        <v>118</v>
      </c>
      <c r="N19" s="53" t="s">
        <v>119</v>
      </c>
      <c r="O19" s="44" t="s">
        <v>120</v>
      </c>
      <c r="P19" s="46" t="s">
        <v>53</v>
      </c>
      <c r="Q19" s="47" t="s">
        <v>121</v>
      </c>
    </row>
    <row r="20" spans="1:17" ht="31.5" customHeight="1" x14ac:dyDescent="0.25">
      <c r="A20" s="56"/>
      <c r="B20" s="49"/>
      <c r="C20" s="48"/>
      <c r="D20" s="48"/>
      <c r="E20" s="48"/>
      <c r="F20" s="48"/>
      <c r="G20" s="25">
        <v>2</v>
      </c>
      <c r="H20" s="7" t="s">
        <v>122</v>
      </c>
      <c r="I20" s="52"/>
      <c r="J20" s="26" t="s">
        <v>123</v>
      </c>
      <c r="K20" s="27" t="s">
        <v>124</v>
      </c>
      <c r="L20" s="28" t="s">
        <v>49</v>
      </c>
      <c r="M20" s="45"/>
      <c r="N20" s="45"/>
      <c r="O20" s="45"/>
      <c r="P20" s="45"/>
      <c r="Q20" s="45"/>
    </row>
    <row r="21" spans="1:17" ht="31.5" customHeight="1" x14ac:dyDescent="0.25">
      <c r="A21" s="56"/>
      <c r="B21" s="49"/>
      <c r="C21" s="48" t="s">
        <v>125</v>
      </c>
      <c r="D21" s="45" t="s">
        <v>126</v>
      </c>
      <c r="E21" s="50" t="s">
        <v>43</v>
      </c>
      <c r="F21" s="51" t="s">
        <v>113</v>
      </c>
      <c r="G21" s="25">
        <v>1</v>
      </c>
      <c r="H21" s="7" t="s">
        <v>127</v>
      </c>
      <c r="I21" s="52" t="s">
        <v>128</v>
      </c>
      <c r="J21" s="26" t="s">
        <v>129</v>
      </c>
      <c r="K21" s="27" t="s">
        <v>130</v>
      </c>
      <c r="L21" s="28" t="s">
        <v>49</v>
      </c>
      <c r="M21" s="45" t="s">
        <v>131</v>
      </c>
      <c r="N21" s="53" t="s">
        <v>119</v>
      </c>
      <c r="O21" s="44" t="s">
        <v>132</v>
      </c>
      <c r="P21" s="46" t="s">
        <v>53</v>
      </c>
      <c r="Q21" s="47" t="s">
        <v>121</v>
      </c>
    </row>
    <row r="22" spans="1:17" ht="31.5" customHeight="1" x14ac:dyDescent="0.25">
      <c r="A22" s="56"/>
      <c r="B22" s="49"/>
      <c r="C22" s="49"/>
      <c r="D22" s="49"/>
      <c r="E22" s="49"/>
      <c r="F22" s="49"/>
      <c r="G22" s="25">
        <v>2</v>
      </c>
      <c r="H22" s="7" t="s">
        <v>133</v>
      </c>
      <c r="I22" s="52"/>
      <c r="J22" s="26" t="s">
        <v>134</v>
      </c>
      <c r="K22" s="27" t="s">
        <v>135</v>
      </c>
      <c r="L22" s="28" t="s">
        <v>49</v>
      </c>
      <c r="M22" s="45"/>
      <c r="N22" s="45"/>
      <c r="O22" s="45"/>
      <c r="P22" s="45"/>
      <c r="Q22" s="45"/>
    </row>
    <row r="23" spans="1:17" ht="43.5" customHeight="1" x14ac:dyDescent="0.25">
      <c r="A23" s="56"/>
      <c r="B23" s="49"/>
      <c r="C23" s="48"/>
      <c r="D23" s="48"/>
      <c r="E23" s="48"/>
      <c r="F23" s="48"/>
      <c r="G23" s="25">
        <v>3</v>
      </c>
      <c r="H23" s="7" t="s">
        <v>136</v>
      </c>
      <c r="I23" s="52"/>
      <c r="J23" s="26" t="s">
        <v>137</v>
      </c>
      <c r="K23" s="27" t="s">
        <v>138</v>
      </c>
      <c r="L23" s="28" t="s">
        <v>49</v>
      </c>
      <c r="M23" s="45"/>
      <c r="N23" s="45"/>
      <c r="O23" s="45"/>
      <c r="P23" s="45"/>
      <c r="Q23" s="45"/>
    </row>
    <row r="24" spans="1:17" ht="57" customHeight="1" x14ac:dyDescent="0.25">
      <c r="A24" s="56"/>
      <c r="B24" s="49"/>
      <c r="C24" s="11" t="s">
        <v>139</v>
      </c>
      <c r="D24" s="10" t="s">
        <v>140</v>
      </c>
      <c r="E24" s="9" t="s">
        <v>43</v>
      </c>
      <c r="F24" s="8" t="s">
        <v>141</v>
      </c>
      <c r="G24" s="25">
        <v>1</v>
      </c>
      <c r="H24" s="7" t="s">
        <v>142</v>
      </c>
      <c r="I24" s="7" t="s">
        <v>143</v>
      </c>
      <c r="J24" s="26" t="s">
        <v>144</v>
      </c>
      <c r="K24" s="27" t="s">
        <v>145</v>
      </c>
      <c r="L24" s="28" t="s">
        <v>49</v>
      </c>
      <c r="M24" s="10" t="s">
        <v>131</v>
      </c>
      <c r="N24" s="6" t="s">
        <v>119</v>
      </c>
      <c r="O24" s="5" t="s">
        <v>146</v>
      </c>
      <c r="P24" s="4" t="s">
        <v>53</v>
      </c>
      <c r="Q24" s="3" t="s">
        <v>121</v>
      </c>
    </row>
    <row r="25" spans="1:17" ht="34.5" customHeight="1" x14ac:dyDescent="0.25">
      <c r="A25" s="56"/>
      <c r="B25" s="49"/>
      <c r="C25" s="48" t="s">
        <v>147</v>
      </c>
      <c r="D25" s="45" t="s">
        <v>148</v>
      </c>
      <c r="E25" s="50" t="s">
        <v>43</v>
      </c>
      <c r="F25" s="51" t="s">
        <v>149</v>
      </c>
      <c r="G25" s="25">
        <v>1</v>
      </c>
      <c r="H25" s="7" t="s">
        <v>150</v>
      </c>
      <c r="I25" s="52" t="s">
        <v>151</v>
      </c>
      <c r="J25" s="26" t="s">
        <v>152</v>
      </c>
      <c r="K25" s="30" t="s">
        <v>153</v>
      </c>
      <c r="L25" s="28" t="s">
        <v>49</v>
      </c>
      <c r="M25" s="45" t="s">
        <v>154</v>
      </c>
      <c r="N25" s="53" t="s">
        <v>155</v>
      </c>
      <c r="O25" s="44" t="s">
        <v>156</v>
      </c>
      <c r="P25" s="46" t="s">
        <v>53</v>
      </c>
      <c r="Q25" s="47" t="s">
        <v>54</v>
      </c>
    </row>
    <row r="26" spans="1:17" ht="34.5" customHeight="1" x14ac:dyDescent="0.25">
      <c r="A26" s="56"/>
      <c r="B26" s="49"/>
      <c r="C26" s="48"/>
      <c r="D26" s="48"/>
      <c r="E26" s="48"/>
      <c r="F26" s="48"/>
      <c r="G26" s="25">
        <v>2</v>
      </c>
      <c r="H26" s="7" t="s">
        <v>58</v>
      </c>
      <c r="I26" s="52"/>
      <c r="J26" s="26" t="s">
        <v>157</v>
      </c>
      <c r="K26" s="30" t="s">
        <v>158</v>
      </c>
      <c r="L26" s="28" t="s">
        <v>49</v>
      </c>
      <c r="M26" s="45"/>
      <c r="N26" s="45"/>
      <c r="O26" s="45"/>
      <c r="P26" s="45"/>
      <c r="Q26" s="45"/>
    </row>
    <row r="27" spans="1:17" ht="69.75" customHeight="1" x14ac:dyDescent="0.25">
      <c r="A27" s="56"/>
      <c r="B27" s="49"/>
      <c r="C27" s="48" t="s">
        <v>159</v>
      </c>
      <c r="D27" s="45" t="s">
        <v>160</v>
      </c>
      <c r="E27" s="50" t="s">
        <v>43</v>
      </c>
      <c r="F27" s="51" t="s">
        <v>161</v>
      </c>
      <c r="G27" s="25">
        <v>1</v>
      </c>
      <c r="H27" s="7" t="s">
        <v>162</v>
      </c>
      <c r="I27" s="52" t="s">
        <v>163</v>
      </c>
      <c r="J27" s="26" t="s">
        <v>164</v>
      </c>
      <c r="K27" s="30" t="s">
        <v>165</v>
      </c>
      <c r="L27" s="28" t="s">
        <v>166</v>
      </c>
      <c r="M27" s="45" t="s">
        <v>167</v>
      </c>
      <c r="N27" s="53" t="s">
        <v>155</v>
      </c>
      <c r="O27" s="44" t="s">
        <v>168</v>
      </c>
      <c r="P27" s="46" t="s">
        <v>53</v>
      </c>
      <c r="Q27" s="47" t="s">
        <v>121</v>
      </c>
    </row>
    <row r="28" spans="1:17" ht="43.5" customHeight="1" x14ac:dyDescent="0.25">
      <c r="A28" s="56"/>
      <c r="B28" s="49"/>
      <c r="C28" s="49"/>
      <c r="D28" s="49"/>
      <c r="E28" s="49"/>
      <c r="F28" s="49"/>
      <c r="G28" s="25">
        <v>2</v>
      </c>
      <c r="H28" s="7" t="s">
        <v>169</v>
      </c>
      <c r="I28" s="52"/>
      <c r="J28" s="26" t="s">
        <v>170</v>
      </c>
      <c r="K28" s="30" t="s">
        <v>171</v>
      </c>
      <c r="L28" s="28" t="s">
        <v>166</v>
      </c>
      <c r="M28" s="45"/>
      <c r="N28" s="45"/>
      <c r="O28" s="45"/>
      <c r="P28" s="45"/>
      <c r="Q28" s="45"/>
    </row>
    <row r="29" spans="1:17" ht="43.5" customHeight="1" x14ac:dyDescent="0.25">
      <c r="A29" s="56"/>
      <c r="B29" s="49"/>
      <c r="C29" s="48"/>
      <c r="D29" s="48"/>
      <c r="E29" s="48"/>
      <c r="F29" s="48"/>
      <c r="G29" s="25">
        <v>3</v>
      </c>
      <c r="H29" s="7" t="s">
        <v>172</v>
      </c>
      <c r="I29" s="52"/>
      <c r="J29" s="26" t="s">
        <v>173</v>
      </c>
      <c r="K29" s="30" t="s">
        <v>174</v>
      </c>
      <c r="L29" s="28" t="s">
        <v>166</v>
      </c>
      <c r="M29" s="45"/>
      <c r="N29" s="45"/>
      <c r="O29" s="45"/>
      <c r="P29" s="45"/>
      <c r="Q29" s="45"/>
    </row>
    <row r="30" spans="1:17" ht="69.75" customHeight="1" x14ac:dyDescent="0.25">
      <c r="A30" s="56"/>
      <c r="B30" s="54"/>
      <c r="C30" s="11" t="s">
        <v>175</v>
      </c>
      <c r="D30" s="10" t="s">
        <v>176</v>
      </c>
      <c r="E30" s="9" t="s">
        <v>43</v>
      </c>
      <c r="F30" s="8" t="s">
        <v>44</v>
      </c>
      <c r="G30" s="25">
        <v>1</v>
      </c>
      <c r="H30" s="7" t="s">
        <v>177</v>
      </c>
      <c r="I30" s="7" t="s">
        <v>178</v>
      </c>
      <c r="J30" s="26" t="s">
        <v>179</v>
      </c>
      <c r="K30" s="30" t="s">
        <v>180</v>
      </c>
      <c r="L30" s="28" t="s">
        <v>49</v>
      </c>
      <c r="M30" s="10" t="s">
        <v>181</v>
      </c>
      <c r="N30" s="6" t="s">
        <v>182</v>
      </c>
      <c r="O30" s="5" t="s">
        <v>183</v>
      </c>
      <c r="P30" s="4" t="s">
        <v>184</v>
      </c>
      <c r="Q30" s="3" t="s">
        <v>185</v>
      </c>
    </row>
    <row r="31" spans="1:17" ht="57" customHeight="1" x14ac:dyDescent="0.25">
      <c r="A31" s="56"/>
      <c r="B31" s="54" t="s">
        <v>186</v>
      </c>
      <c r="C31" s="48" t="s">
        <v>187</v>
      </c>
      <c r="D31" s="45" t="s">
        <v>188</v>
      </c>
      <c r="E31" s="50" t="s">
        <v>43</v>
      </c>
      <c r="F31" s="51" t="s">
        <v>113</v>
      </c>
      <c r="G31" s="25">
        <v>1</v>
      </c>
      <c r="H31" s="7" t="s">
        <v>189</v>
      </c>
      <c r="I31" s="52" t="s">
        <v>190</v>
      </c>
      <c r="J31" s="26" t="s">
        <v>191</v>
      </c>
      <c r="K31" s="30" t="s">
        <v>192</v>
      </c>
      <c r="L31" s="28" t="s">
        <v>49</v>
      </c>
      <c r="M31" s="45" t="s">
        <v>193</v>
      </c>
      <c r="N31" s="53" t="s">
        <v>194</v>
      </c>
      <c r="O31" s="44" t="s">
        <v>195</v>
      </c>
      <c r="P31" s="46" t="s">
        <v>184</v>
      </c>
      <c r="Q31" s="47" t="s">
        <v>196</v>
      </c>
    </row>
    <row r="32" spans="1:17" ht="69.75" customHeight="1" x14ac:dyDescent="0.25">
      <c r="A32" s="56"/>
      <c r="B32" s="54"/>
      <c r="C32" s="54"/>
      <c r="D32" s="54"/>
      <c r="E32" s="54"/>
      <c r="F32" s="54"/>
      <c r="G32" s="25">
        <v>2</v>
      </c>
      <c r="H32" s="7" t="s">
        <v>197</v>
      </c>
      <c r="I32" s="52"/>
      <c r="J32" s="26" t="s">
        <v>198</v>
      </c>
      <c r="K32" s="30" t="s">
        <v>199</v>
      </c>
      <c r="L32" s="28" t="s">
        <v>49</v>
      </c>
      <c r="M32" s="45"/>
      <c r="N32" s="45"/>
      <c r="O32" s="45"/>
      <c r="P32" s="45"/>
      <c r="Q32" s="45"/>
    </row>
    <row r="33" spans="1:17" ht="31.5" customHeight="1" x14ac:dyDescent="0.25">
      <c r="A33" s="56"/>
      <c r="B33" s="54" t="s">
        <v>200</v>
      </c>
      <c r="C33" s="48" t="s">
        <v>201</v>
      </c>
      <c r="D33" s="45" t="s">
        <v>202</v>
      </c>
      <c r="E33" s="50" t="s">
        <v>43</v>
      </c>
      <c r="F33" s="51" t="s">
        <v>203</v>
      </c>
      <c r="G33" s="25">
        <v>1</v>
      </c>
      <c r="H33" s="7" t="s">
        <v>204</v>
      </c>
      <c r="I33" s="52" t="s">
        <v>205</v>
      </c>
      <c r="J33" s="26" t="s">
        <v>206</v>
      </c>
      <c r="K33" s="30" t="s">
        <v>207</v>
      </c>
      <c r="L33" s="28" t="s">
        <v>49</v>
      </c>
      <c r="M33" s="45" t="s">
        <v>208</v>
      </c>
      <c r="N33" s="53" t="s">
        <v>209</v>
      </c>
      <c r="O33" s="44" t="s">
        <v>210</v>
      </c>
      <c r="P33" s="46" t="s">
        <v>53</v>
      </c>
      <c r="Q33" s="47" t="s">
        <v>185</v>
      </c>
    </row>
    <row r="34" spans="1:17" ht="31.5" customHeight="1" x14ac:dyDescent="0.25">
      <c r="A34" s="56"/>
      <c r="B34" s="49"/>
      <c r="C34" s="49"/>
      <c r="D34" s="49"/>
      <c r="E34" s="49"/>
      <c r="F34" s="49"/>
      <c r="G34" s="25">
        <v>2</v>
      </c>
      <c r="H34" s="7" t="s">
        <v>211</v>
      </c>
      <c r="I34" s="52"/>
      <c r="J34" s="26" t="s">
        <v>212</v>
      </c>
      <c r="K34" s="30" t="s">
        <v>213</v>
      </c>
      <c r="L34" s="28" t="s">
        <v>49</v>
      </c>
      <c r="M34" s="45"/>
      <c r="N34" s="45"/>
      <c r="O34" s="45"/>
      <c r="P34" s="45"/>
      <c r="Q34" s="45"/>
    </row>
    <row r="35" spans="1:17" ht="31.5" customHeight="1" x14ac:dyDescent="0.25">
      <c r="A35" s="56"/>
      <c r="B35" s="49"/>
      <c r="C35" s="49"/>
      <c r="D35" s="49"/>
      <c r="E35" s="49"/>
      <c r="F35" s="49"/>
      <c r="G35" s="25">
        <v>3</v>
      </c>
      <c r="H35" s="7" t="s">
        <v>214</v>
      </c>
      <c r="I35" s="52"/>
      <c r="J35" s="26" t="s">
        <v>215</v>
      </c>
      <c r="K35" s="30" t="s">
        <v>216</v>
      </c>
      <c r="L35" s="28" t="s">
        <v>49</v>
      </c>
      <c r="M35" s="45"/>
      <c r="N35" s="45"/>
      <c r="O35" s="45"/>
      <c r="P35" s="45"/>
      <c r="Q35" s="45"/>
    </row>
    <row r="36" spans="1:17" ht="31.5" customHeight="1" x14ac:dyDescent="0.25">
      <c r="A36" s="56"/>
      <c r="B36" s="49"/>
      <c r="C36" s="49"/>
      <c r="D36" s="49"/>
      <c r="E36" s="49"/>
      <c r="F36" s="49"/>
      <c r="G36" s="25">
        <v>4</v>
      </c>
      <c r="H36" s="7" t="s">
        <v>217</v>
      </c>
      <c r="I36" s="52"/>
      <c r="J36" s="26" t="s">
        <v>218</v>
      </c>
      <c r="K36" s="30" t="s">
        <v>219</v>
      </c>
      <c r="L36" s="28" t="s">
        <v>49</v>
      </c>
      <c r="M36" s="45"/>
      <c r="N36" s="45"/>
      <c r="O36" s="45"/>
      <c r="P36" s="45"/>
      <c r="Q36" s="45"/>
    </row>
    <row r="37" spans="1:17" ht="31.5" customHeight="1" x14ac:dyDescent="0.25">
      <c r="A37" s="56"/>
      <c r="B37" s="49"/>
      <c r="C37" s="49"/>
      <c r="D37" s="49"/>
      <c r="E37" s="49"/>
      <c r="F37" s="49"/>
      <c r="G37" s="25">
        <v>5</v>
      </c>
      <c r="H37" s="7" t="s">
        <v>220</v>
      </c>
      <c r="I37" s="52"/>
      <c r="J37" s="26" t="s">
        <v>221</v>
      </c>
      <c r="K37" s="30" t="s">
        <v>222</v>
      </c>
      <c r="L37" s="28" t="s">
        <v>49</v>
      </c>
      <c r="M37" s="45"/>
      <c r="N37" s="45"/>
      <c r="O37" s="45"/>
      <c r="P37" s="45"/>
      <c r="Q37" s="45"/>
    </row>
    <row r="38" spans="1:17" ht="31.5" customHeight="1" x14ac:dyDescent="0.25">
      <c r="A38" s="56"/>
      <c r="B38" s="49"/>
      <c r="C38" s="49"/>
      <c r="D38" s="49"/>
      <c r="E38" s="49"/>
      <c r="F38" s="49"/>
      <c r="G38" s="25">
        <v>6</v>
      </c>
      <c r="H38" s="7" t="s">
        <v>223</v>
      </c>
      <c r="I38" s="52"/>
      <c r="J38" s="26" t="s">
        <v>224</v>
      </c>
      <c r="K38" s="30" t="s">
        <v>225</v>
      </c>
      <c r="L38" s="28" t="s">
        <v>49</v>
      </c>
      <c r="M38" s="45"/>
      <c r="N38" s="45"/>
      <c r="O38" s="45"/>
      <c r="P38" s="45"/>
      <c r="Q38" s="45"/>
    </row>
    <row r="39" spans="1:17" ht="43.5" customHeight="1" x14ac:dyDescent="0.25">
      <c r="A39" s="56"/>
      <c r="B39" s="49"/>
      <c r="C39" s="48"/>
      <c r="D39" s="48"/>
      <c r="E39" s="48"/>
      <c r="F39" s="48"/>
      <c r="G39" s="25">
        <v>7</v>
      </c>
      <c r="H39" s="7" t="s">
        <v>226</v>
      </c>
      <c r="I39" s="52"/>
      <c r="J39" s="26" t="s">
        <v>227</v>
      </c>
      <c r="K39" s="30" t="s">
        <v>228</v>
      </c>
      <c r="L39" s="28" t="s">
        <v>49</v>
      </c>
      <c r="M39" s="45"/>
      <c r="N39" s="45"/>
      <c r="O39" s="45"/>
      <c r="P39" s="45"/>
      <c r="Q39" s="45"/>
    </row>
    <row r="40" spans="1:17" ht="82.5" customHeight="1" x14ac:dyDescent="0.25">
      <c r="A40" s="56"/>
      <c r="B40" s="49"/>
      <c r="C40" s="11" t="s">
        <v>229</v>
      </c>
      <c r="D40" s="10" t="s">
        <v>230</v>
      </c>
      <c r="E40" s="9" t="s">
        <v>43</v>
      </c>
      <c r="F40" s="8" t="s">
        <v>231</v>
      </c>
      <c r="G40" s="25">
        <v>1</v>
      </c>
      <c r="H40" s="7" t="s">
        <v>232</v>
      </c>
      <c r="I40" s="7" t="s">
        <v>233</v>
      </c>
      <c r="J40" s="26" t="s">
        <v>234</v>
      </c>
      <c r="K40" s="30" t="s">
        <v>235</v>
      </c>
      <c r="L40" s="28" t="s">
        <v>49</v>
      </c>
      <c r="M40" s="10" t="s">
        <v>208</v>
      </c>
      <c r="N40" s="6" t="s">
        <v>209</v>
      </c>
      <c r="O40" s="5" t="s">
        <v>236</v>
      </c>
      <c r="P40" s="4" t="s">
        <v>53</v>
      </c>
      <c r="Q40" s="3" t="s">
        <v>185</v>
      </c>
    </row>
    <row r="41" spans="1:17" ht="43.5" customHeight="1" x14ac:dyDescent="0.25">
      <c r="A41" s="56"/>
      <c r="B41" s="49"/>
      <c r="C41" s="48" t="s">
        <v>237</v>
      </c>
      <c r="D41" s="45" t="s">
        <v>238</v>
      </c>
      <c r="E41" s="50" t="s">
        <v>43</v>
      </c>
      <c r="F41" s="51" t="s">
        <v>231</v>
      </c>
      <c r="G41" s="25">
        <v>1</v>
      </c>
      <c r="H41" s="7" t="s">
        <v>239</v>
      </c>
      <c r="I41" s="52" t="s">
        <v>240</v>
      </c>
      <c r="J41" s="26" t="s">
        <v>241</v>
      </c>
      <c r="K41" s="30" t="s">
        <v>242</v>
      </c>
      <c r="L41" s="28" t="s">
        <v>49</v>
      </c>
      <c r="M41" s="45" t="s">
        <v>243</v>
      </c>
      <c r="N41" s="53" t="s">
        <v>209</v>
      </c>
      <c r="O41" s="44" t="s">
        <v>244</v>
      </c>
      <c r="P41" s="46" t="s">
        <v>83</v>
      </c>
      <c r="Q41" s="47" t="s">
        <v>185</v>
      </c>
    </row>
    <row r="42" spans="1:17" ht="82.5" customHeight="1" x14ac:dyDescent="0.25">
      <c r="A42" s="56"/>
      <c r="B42" s="49"/>
      <c r="C42" s="48"/>
      <c r="D42" s="48"/>
      <c r="E42" s="48"/>
      <c r="F42" s="48"/>
      <c r="G42" s="25">
        <v>2</v>
      </c>
      <c r="H42" s="7" t="s">
        <v>223</v>
      </c>
      <c r="I42" s="52"/>
      <c r="J42" s="26" t="s">
        <v>245</v>
      </c>
      <c r="K42" s="30" t="s">
        <v>246</v>
      </c>
      <c r="L42" s="28" t="s">
        <v>49</v>
      </c>
      <c r="M42" s="45"/>
      <c r="N42" s="45"/>
      <c r="O42" s="45"/>
      <c r="P42" s="45"/>
      <c r="Q42" s="45"/>
    </row>
    <row r="43" spans="1:17" ht="57" customHeight="1" x14ac:dyDescent="0.25">
      <c r="A43" s="56"/>
      <c r="B43" s="49"/>
      <c r="C43" s="11" t="s">
        <v>247</v>
      </c>
      <c r="D43" s="10" t="s">
        <v>248</v>
      </c>
      <c r="E43" s="9" t="s">
        <v>43</v>
      </c>
      <c r="F43" s="8" t="s">
        <v>231</v>
      </c>
      <c r="G43" s="25">
        <v>1</v>
      </c>
      <c r="H43" s="7" t="s">
        <v>249</v>
      </c>
      <c r="I43" s="7" t="s">
        <v>250</v>
      </c>
      <c r="J43" s="26" t="s">
        <v>251</v>
      </c>
      <c r="K43" s="30" t="s">
        <v>252</v>
      </c>
      <c r="L43" s="28" t="s">
        <v>49</v>
      </c>
      <c r="M43" s="10" t="s">
        <v>253</v>
      </c>
      <c r="N43" s="6" t="s">
        <v>254</v>
      </c>
      <c r="O43" s="5" t="s">
        <v>255</v>
      </c>
      <c r="P43" s="4" t="s">
        <v>53</v>
      </c>
      <c r="Q43" s="3" t="s">
        <v>256</v>
      </c>
    </row>
    <row r="44" spans="1:17" ht="43.5" customHeight="1" x14ac:dyDescent="0.25">
      <c r="A44" s="56"/>
      <c r="B44" s="49"/>
      <c r="C44" s="48" t="s">
        <v>257</v>
      </c>
      <c r="D44" s="45" t="s">
        <v>258</v>
      </c>
      <c r="E44" s="50" t="s">
        <v>43</v>
      </c>
      <c r="F44" s="51" t="s">
        <v>259</v>
      </c>
      <c r="G44" s="25">
        <v>1</v>
      </c>
      <c r="H44" s="7" t="s">
        <v>260</v>
      </c>
      <c r="I44" s="52" t="s">
        <v>261</v>
      </c>
      <c r="J44" s="26" t="s">
        <v>262</v>
      </c>
      <c r="K44" s="30" t="s">
        <v>263</v>
      </c>
      <c r="L44" s="28" t="s">
        <v>49</v>
      </c>
      <c r="M44" s="45" t="s">
        <v>253</v>
      </c>
      <c r="N44" s="53" t="s">
        <v>254</v>
      </c>
      <c r="O44" s="44" t="s">
        <v>264</v>
      </c>
      <c r="P44" s="46" t="s">
        <v>53</v>
      </c>
      <c r="Q44" s="47" t="s">
        <v>256</v>
      </c>
    </row>
    <row r="45" spans="1:17" ht="31.5" customHeight="1" x14ac:dyDescent="0.25">
      <c r="A45" s="56"/>
      <c r="B45" s="49"/>
      <c r="C45" s="49"/>
      <c r="D45" s="49"/>
      <c r="E45" s="49"/>
      <c r="F45" s="49"/>
      <c r="G45" s="25">
        <v>2</v>
      </c>
      <c r="H45" s="7" t="s">
        <v>265</v>
      </c>
      <c r="I45" s="52"/>
      <c r="J45" s="26" t="s">
        <v>266</v>
      </c>
      <c r="K45" s="30" t="s">
        <v>267</v>
      </c>
      <c r="L45" s="28" t="s">
        <v>49</v>
      </c>
      <c r="M45" s="45"/>
      <c r="N45" s="45"/>
      <c r="O45" s="45"/>
      <c r="P45" s="45"/>
      <c r="Q45" s="45"/>
    </row>
    <row r="46" spans="1:17" ht="159" customHeight="1" x14ac:dyDescent="0.25">
      <c r="A46" s="56"/>
      <c r="B46" s="49"/>
      <c r="C46" s="48"/>
      <c r="D46" s="48"/>
      <c r="E46" s="48"/>
      <c r="F46" s="48"/>
      <c r="G46" s="25">
        <v>3</v>
      </c>
      <c r="H46" s="7" t="s">
        <v>223</v>
      </c>
      <c r="I46" s="52"/>
      <c r="J46" s="26" t="s">
        <v>268</v>
      </c>
      <c r="K46" s="30" t="s">
        <v>269</v>
      </c>
      <c r="L46" s="28" t="s">
        <v>166</v>
      </c>
      <c r="M46" s="45"/>
      <c r="N46" s="45"/>
      <c r="O46" s="45"/>
      <c r="P46" s="45"/>
      <c r="Q46" s="45"/>
    </row>
    <row r="47" spans="1:17" ht="43.5" customHeight="1" x14ac:dyDescent="0.25">
      <c r="A47" s="56"/>
      <c r="B47" s="49"/>
      <c r="C47" s="48" t="s">
        <v>270</v>
      </c>
      <c r="D47" s="45" t="s">
        <v>271</v>
      </c>
      <c r="E47" s="50" t="s">
        <v>43</v>
      </c>
      <c r="F47" s="51" t="s">
        <v>272</v>
      </c>
      <c r="G47" s="25">
        <v>1</v>
      </c>
      <c r="H47" s="7" t="s">
        <v>273</v>
      </c>
      <c r="I47" s="52" t="s">
        <v>274</v>
      </c>
      <c r="J47" s="26" t="s">
        <v>275</v>
      </c>
      <c r="K47" s="30" t="s">
        <v>276</v>
      </c>
      <c r="L47" s="28" t="s">
        <v>49</v>
      </c>
      <c r="M47" s="45" t="s">
        <v>253</v>
      </c>
      <c r="N47" s="53" t="s">
        <v>254</v>
      </c>
      <c r="O47" s="44" t="s">
        <v>277</v>
      </c>
      <c r="P47" s="46" t="s">
        <v>53</v>
      </c>
      <c r="Q47" s="47" t="s">
        <v>256</v>
      </c>
    </row>
    <row r="48" spans="1:17" ht="43.5" customHeight="1" x14ac:dyDescent="0.25">
      <c r="A48" s="56"/>
      <c r="B48" s="49"/>
      <c r="C48" s="49"/>
      <c r="D48" s="49"/>
      <c r="E48" s="49"/>
      <c r="F48" s="49"/>
      <c r="G48" s="25">
        <v>2</v>
      </c>
      <c r="H48" s="7" t="s">
        <v>278</v>
      </c>
      <c r="I48" s="52"/>
      <c r="J48" s="26" t="s">
        <v>279</v>
      </c>
      <c r="K48" s="30" t="s">
        <v>280</v>
      </c>
      <c r="L48" s="28" t="s">
        <v>49</v>
      </c>
      <c r="M48" s="45"/>
      <c r="N48" s="45"/>
      <c r="O48" s="45"/>
      <c r="P48" s="45"/>
      <c r="Q48" s="45"/>
    </row>
    <row r="49" spans="1:17" ht="43.5" customHeight="1" x14ac:dyDescent="0.25">
      <c r="A49" s="56"/>
      <c r="B49" s="49"/>
      <c r="C49" s="48"/>
      <c r="D49" s="48"/>
      <c r="E49" s="48"/>
      <c r="F49" s="48"/>
      <c r="G49" s="25">
        <v>3</v>
      </c>
      <c r="H49" s="7" t="s">
        <v>223</v>
      </c>
      <c r="I49" s="52"/>
      <c r="J49" s="26" t="s">
        <v>268</v>
      </c>
      <c r="K49" s="30" t="s">
        <v>281</v>
      </c>
      <c r="L49" s="28" t="s">
        <v>49</v>
      </c>
      <c r="M49" s="45"/>
      <c r="N49" s="45"/>
      <c r="O49" s="45"/>
      <c r="P49" s="45"/>
      <c r="Q49" s="45"/>
    </row>
    <row r="50" spans="1:17" ht="69.75" customHeight="1" x14ac:dyDescent="0.25">
      <c r="A50" s="56"/>
      <c r="B50" s="49"/>
      <c r="C50" s="48" t="s">
        <v>282</v>
      </c>
      <c r="D50" s="45" t="s">
        <v>283</v>
      </c>
      <c r="E50" s="50" t="s">
        <v>43</v>
      </c>
      <c r="F50" s="51" t="s">
        <v>272</v>
      </c>
      <c r="G50" s="25">
        <v>1</v>
      </c>
      <c r="H50" s="7" t="s">
        <v>284</v>
      </c>
      <c r="I50" s="52" t="s">
        <v>285</v>
      </c>
      <c r="J50" s="26" t="s">
        <v>286</v>
      </c>
      <c r="K50" s="30" t="s">
        <v>287</v>
      </c>
      <c r="L50" s="28" t="s">
        <v>49</v>
      </c>
      <c r="M50" s="45" t="s">
        <v>253</v>
      </c>
      <c r="N50" s="53" t="s">
        <v>254</v>
      </c>
      <c r="O50" s="44" t="s">
        <v>288</v>
      </c>
      <c r="P50" s="46" t="s">
        <v>53</v>
      </c>
      <c r="Q50" s="47" t="s">
        <v>256</v>
      </c>
    </row>
    <row r="51" spans="1:17" ht="43.5" customHeight="1" x14ac:dyDescent="0.25">
      <c r="A51" s="56"/>
      <c r="B51" s="49"/>
      <c r="C51" s="48"/>
      <c r="D51" s="48"/>
      <c r="E51" s="48"/>
      <c r="F51" s="48"/>
      <c r="G51" s="25">
        <v>2</v>
      </c>
      <c r="H51" s="7" t="s">
        <v>223</v>
      </c>
      <c r="I51" s="52"/>
      <c r="J51" s="26" t="s">
        <v>289</v>
      </c>
      <c r="K51" s="30" t="s">
        <v>290</v>
      </c>
      <c r="L51" s="28" t="s">
        <v>49</v>
      </c>
      <c r="M51" s="45"/>
      <c r="N51" s="45"/>
      <c r="O51" s="45"/>
      <c r="P51" s="45"/>
      <c r="Q51" s="45"/>
    </row>
    <row r="52" spans="1:17" ht="31.5" customHeight="1" x14ac:dyDescent="0.25">
      <c r="A52" s="56"/>
      <c r="B52" s="49"/>
      <c r="C52" s="48" t="s">
        <v>291</v>
      </c>
      <c r="D52" s="45" t="s">
        <v>292</v>
      </c>
      <c r="E52" s="50" t="s">
        <v>43</v>
      </c>
      <c r="F52" s="51" t="s">
        <v>231</v>
      </c>
      <c r="G52" s="25">
        <v>1</v>
      </c>
      <c r="H52" s="7" t="s">
        <v>293</v>
      </c>
      <c r="I52" s="52" t="s">
        <v>294</v>
      </c>
      <c r="J52" s="26" t="s">
        <v>295</v>
      </c>
      <c r="K52" s="30" t="s">
        <v>296</v>
      </c>
      <c r="L52" s="28" t="s">
        <v>49</v>
      </c>
      <c r="M52" s="45" t="s">
        <v>297</v>
      </c>
      <c r="N52" s="53" t="s">
        <v>254</v>
      </c>
      <c r="O52" s="44" t="s">
        <v>298</v>
      </c>
      <c r="P52" s="46" t="s">
        <v>53</v>
      </c>
      <c r="Q52" s="47" t="s">
        <v>185</v>
      </c>
    </row>
    <row r="53" spans="1:17" ht="69.75" customHeight="1" x14ac:dyDescent="0.25">
      <c r="A53" s="56"/>
      <c r="B53" s="49"/>
      <c r="C53" s="48"/>
      <c r="D53" s="48"/>
      <c r="E53" s="48"/>
      <c r="F53" s="48"/>
      <c r="G53" s="25">
        <v>2</v>
      </c>
      <c r="H53" s="7" t="s">
        <v>223</v>
      </c>
      <c r="I53" s="52"/>
      <c r="J53" s="26" t="s">
        <v>299</v>
      </c>
      <c r="K53" s="30" t="s">
        <v>300</v>
      </c>
      <c r="L53" s="28" t="s">
        <v>49</v>
      </c>
      <c r="M53" s="45"/>
      <c r="N53" s="45"/>
      <c r="O53" s="45"/>
      <c r="P53" s="45"/>
      <c r="Q53" s="45"/>
    </row>
    <row r="54" spans="1:17" ht="43.5" customHeight="1" x14ac:dyDescent="0.25">
      <c r="A54" s="56"/>
      <c r="B54" s="49"/>
      <c r="C54" s="48" t="s">
        <v>301</v>
      </c>
      <c r="D54" s="45" t="s">
        <v>302</v>
      </c>
      <c r="E54" s="50" t="s">
        <v>43</v>
      </c>
      <c r="F54" s="51" t="s">
        <v>231</v>
      </c>
      <c r="G54" s="25">
        <v>1</v>
      </c>
      <c r="H54" s="7" t="s">
        <v>303</v>
      </c>
      <c r="I54" s="52" t="s">
        <v>304</v>
      </c>
      <c r="J54" s="26" t="s">
        <v>305</v>
      </c>
      <c r="K54" s="30" t="s">
        <v>306</v>
      </c>
      <c r="L54" s="28" t="s">
        <v>49</v>
      </c>
      <c r="M54" s="45" t="s">
        <v>307</v>
      </c>
      <c r="N54" s="53" t="s">
        <v>308</v>
      </c>
      <c r="O54" s="44" t="s">
        <v>309</v>
      </c>
      <c r="P54" s="46" t="s">
        <v>53</v>
      </c>
      <c r="Q54" s="47" t="s">
        <v>185</v>
      </c>
    </row>
    <row r="55" spans="1:17" ht="43.5" customHeight="1" x14ac:dyDescent="0.25">
      <c r="A55" s="56"/>
      <c r="B55" s="49"/>
      <c r="C55" s="48"/>
      <c r="D55" s="48"/>
      <c r="E55" s="48"/>
      <c r="F55" s="48"/>
      <c r="G55" s="25">
        <v>2</v>
      </c>
      <c r="H55" s="7" t="s">
        <v>310</v>
      </c>
      <c r="I55" s="52"/>
      <c r="J55" s="26" t="s">
        <v>311</v>
      </c>
      <c r="K55" s="30" t="s">
        <v>312</v>
      </c>
      <c r="L55" s="28" t="s">
        <v>49</v>
      </c>
      <c r="M55" s="45"/>
      <c r="N55" s="45"/>
      <c r="O55" s="45"/>
      <c r="P55" s="45"/>
      <c r="Q55" s="45"/>
    </row>
    <row r="56" spans="1:17" ht="43.5" customHeight="1" x14ac:dyDescent="0.25">
      <c r="A56" s="56"/>
      <c r="B56" s="49"/>
      <c r="C56" s="11" t="s">
        <v>313</v>
      </c>
      <c r="D56" s="10" t="s">
        <v>314</v>
      </c>
      <c r="E56" s="9" t="s">
        <v>43</v>
      </c>
      <c r="F56" s="8" t="s">
        <v>231</v>
      </c>
      <c r="G56" s="25">
        <v>1</v>
      </c>
      <c r="H56" s="29" t="s">
        <v>315</v>
      </c>
      <c r="I56" s="7" t="s">
        <v>316</v>
      </c>
      <c r="J56" s="26" t="s">
        <v>317</v>
      </c>
      <c r="K56" s="30" t="s">
        <v>318</v>
      </c>
      <c r="L56" s="28" t="s">
        <v>49</v>
      </c>
      <c r="M56" s="10" t="s">
        <v>319</v>
      </c>
      <c r="N56" s="6" t="s">
        <v>308</v>
      </c>
      <c r="O56" s="5" t="s">
        <v>320</v>
      </c>
      <c r="P56" s="4" t="s">
        <v>53</v>
      </c>
      <c r="Q56" s="3" t="s">
        <v>256</v>
      </c>
    </row>
    <row r="57" spans="1:17" ht="43.5" customHeight="1" x14ac:dyDescent="0.25">
      <c r="A57" s="56"/>
      <c r="B57" s="49"/>
      <c r="C57" s="11" t="s">
        <v>321</v>
      </c>
      <c r="D57" s="10" t="s">
        <v>322</v>
      </c>
      <c r="E57" s="9" t="s">
        <v>43</v>
      </c>
      <c r="F57" s="8" t="s">
        <v>231</v>
      </c>
      <c r="G57" s="25">
        <v>1</v>
      </c>
      <c r="H57" s="29" t="s">
        <v>323</v>
      </c>
      <c r="I57" s="7" t="s">
        <v>324</v>
      </c>
      <c r="J57" s="31" t="s">
        <v>325</v>
      </c>
      <c r="K57" s="27" t="s">
        <v>326</v>
      </c>
      <c r="L57" s="28" t="s">
        <v>49</v>
      </c>
      <c r="M57" s="10" t="s">
        <v>319</v>
      </c>
      <c r="N57" s="6" t="s">
        <v>308</v>
      </c>
      <c r="O57" s="5" t="s">
        <v>327</v>
      </c>
      <c r="P57" s="4" t="s">
        <v>53</v>
      </c>
      <c r="Q57" s="3" t="s">
        <v>256</v>
      </c>
    </row>
    <row r="58" spans="1:17" ht="69.75" customHeight="1" x14ac:dyDescent="0.25">
      <c r="A58" s="56"/>
      <c r="B58" s="49"/>
      <c r="C58" s="11" t="s">
        <v>328</v>
      </c>
      <c r="D58" s="10" t="s">
        <v>329</v>
      </c>
      <c r="E58" s="9" t="s">
        <v>43</v>
      </c>
      <c r="F58" s="8" t="s">
        <v>231</v>
      </c>
      <c r="G58" s="25">
        <v>1</v>
      </c>
      <c r="H58" s="29" t="s">
        <v>330</v>
      </c>
      <c r="I58" s="7" t="s">
        <v>331</v>
      </c>
      <c r="J58" s="26" t="s">
        <v>332</v>
      </c>
      <c r="K58" s="27" t="s">
        <v>333</v>
      </c>
      <c r="L58" s="28" t="s">
        <v>49</v>
      </c>
      <c r="M58" s="10" t="s">
        <v>319</v>
      </c>
      <c r="N58" s="6" t="s">
        <v>308</v>
      </c>
      <c r="O58" s="5" t="s">
        <v>334</v>
      </c>
      <c r="P58" s="4" t="s">
        <v>83</v>
      </c>
      <c r="Q58" s="3" t="s">
        <v>185</v>
      </c>
    </row>
    <row r="59" spans="1:17" ht="57" customHeight="1" x14ac:dyDescent="0.25">
      <c r="A59" s="56"/>
      <c r="B59" s="49"/>
      <c r="C59" s="11" t="s">
        <v>335</v>
      </c>
      <c r="D59" s="10" t="s">
        <v>336</v>
      </c>
      <c r="E59" s="9" t="s">
        <v>43</v>
      </c>
      <c r="F59" s="8" t="s">
        <v>231</v>
      </c>
      <c r="G59" s="25">
        <v>1</v>
      </c>
      <c r="H59" s="7" t="s">
        <v>337</v>
      </c>
      <c r="I59" s="7" t="s">
        <v>338</v>
      </c>
      <c r="J59" s="26" t="s">
        <v>339</v>
      </c>
      <c r="K59" s="27" t="s">
        <v>340</v>
      </c>
      <c r="L59" s="28" t="s">
        <v>49</v>
      </c>
      <c r="M59" s="10" t="s">
        <v>319</v>
      </c>
      <c r="N59" s="6" t="s">
        <v>308</v>
      </c>
      <c r="O59" s="5" t="s">
        <v>341</v>
      </c>
      <c r="P59" s="4" t="s">
        <v>83</v>
      </c>
      <c r="Q59" s="3" t="s">
        <v>185</v>
      </c>
    </row>
    <row r="60" spans="1:17" ht="57" customHeight="1" x14ac:dyDescent="0.25">
      <c r="A60" s="56"/>
      <c r="B60" s="49"/>
      <c r="C60" s="11" t="s">
        <v>342</v>
      </c>
      <c r="D60" s="10" t="s">
        <v>343</v>
      </c>
      <c r="E60" s="9" t="s">
        <v>43</v>
      </c>
      <c r="F60" s="8" t="s">
        <v>344</v>
      </c>
      <c r="G60" s="25">
        <v>1</v>
      </c>
      <c r="H60" s="7" t="s">
        <v>345</v>
      </c>
      <c r="I60" s="7" t="s">
        <v>346</v>
      </c>
      <c r="J60" s="31" t="s">
        <v>347</v>
      </c>
      <c r="K60" s="27" t="s">
        <v>348</v>
      </c>
      <c r="L60" s="28" t="s">
        <v>49</v>
      </c>
      <c r="M60" s="10" t="s">
        <v>349</v>
      </c>
      <c r="N60" s="6" t="s">
        <v>350</v>
      </c>
      <c r="O60" s="5" t="s">
        <v>351</v>
      </c>
      <c r="P60" s="4" t="s">
        <v>83</v>
      </c>
      <c r="Q60" s="3" t="s">
        <v>185</v>
      </c>
    </row>
    <row r="61" spans="1:17" ht="43.5" customHeight="1" x14ac:dyDescent="0.25">
      <c r="A61" s="56"/>
      <c r="B61" s="49"/>
      <c r="C61" s="11" t="s">
        <v>352</v>
      </c>
      <c r="D61" s="10" t="s">
        <v>353</v>
      </c>
      <c r="E61" s="9" t="s">
        <v>43</v>
      </c>
      <c r="F61" s="8" t="s">
        <v>344</v>
      </c>
      <c r="G61" s="25">
        <v>1</v>
      </c>
      <c r="H61" s="29" t="s">
        <v>354</v>
      </c>
      <c r="I61" s="7" t="s">
        <v>355</v>
      </c>
      <c r="J61" s="31" t="s">
        <v>356</v>
      </c>
      <c r="K61" s="27" t="s">
        <v>357</v>
      </c>
      <c r="L61" s="28" t="s">
        <v>49</v>
      </c>
      <c r="M61" s="10" t="s">
        <v>349</v>
      </c>
      <c r="N61" s="6" t="s">
        <v>350</v>
      </c>
      <c r="O61" s="5" t="s">
        <v>358</v>
      </c>
      <c r="P61" s="4" t="s">
        <v>83</v>
      </c>
      <c r="Q61" s="3" t="s">
        <v>185</v>
      </c>
    </row>
    <row r="62" spans="1:17" ht="31.5" customHeight="1" x14ac:dyDescent="0.25">
      <c r="A62" s="56"/>
      <c r="B62" s="49"/>
      <c r="C62" s="48" t="s">
        <v>359</v>
      </c>
      <c r="D62" s="45" t="s">
        <v>360</v>
      </c>
      <c r="E62" s="50" t="s">
        <v>43</v>
      </c>
      <c r="F62" s="51" t="s">
        <v>344</v>
      </c>
      <c r="G62" s="25">
        <v>1</v>
      </c>
      <c r="H62" s="7" t="s">
        <v>361</v>
      </c>
      <c r="I62" s="52" t="s">
        <v>362</v>
      </c>
      <c r="J62" s="26" t="s">
        <v>363</v>
      </c>
      <c r="K62" s="27" t="s">
        <v>364</v>
      </c>
      <c r="L62" s="28" t="s">
        <v>49</v>
      </c>
      <c r="M62" s="45" t="s">
        <v>349</v>
      </c>
      <c r="N62" s="53" t="s">
        <v>350</v>
      </c>
      <c r="O62" s="44" t="s">
        <v>365</v>
      </c>
      <c r="P62" s="46" t="s">
        <v>184</v>
      </c>
      <c r="Q62" s="47" t="s">
        <v>185</v>
      </c>
    </row>
    <row r="63" spans="1:17" ht="57" customHeight="1" x14ac:dyDescent="0.25">
      <c r="A63" s="56"/>
      <c r="B63" s="49"/>
      <c r="C63" s="48"/>
      <c r="D63" s="48"/>
      <c r="E63" s="48"/>
      <c r="F63" s="48"/>
      <c r="G63" s="25">
        <v>2</v>
      </c>
      <c r="H63" s="29" t="s">
        <v>366</v>
      </c>
      <c r="I63" s="52"/>
      <c r="J63" s="26" t="s">
        <v>367</v>
      </c>
      <c r="K63" s="27" t="s">
        <v>368</v>
      </c>
      <c r="L63" s="28" t="s">
        <v>49</v>
      </c>
      <c r="M63" s="45"/>
      <c r="N63" s="45"/>
      <c r="O63" s="45"/>
      <c r="P63" s="45"/>
      <c r="Q63" s="45"/>
    </row>
    <row r="64" spans="1:17" ht="43.5" customHeight="1" x14ac:dyDescent="0.25">
      <c r="A64" s="56"/>
      <c r="B64" s="49"/>
      <c r="C64" s="48" t="s">
        <v>369</v>
      </c>
      <c r="D64" s="45" t="s">
        <v>370</v>
      </c>
      <c r="E64" s="50" t="s">
        <v>43</v>
      </c>
      <c r="F64" s="58" t="s">
        <v>371</v>
      </c>
      <c r="G64" s="25">
        <v>1</v>
      </c>
      <c r="H64" s="29" t="s">
        <v>372</v>
      </c>
      <c r="I64" s="52" t="s">
        <v>373</v>
      </c>
      <c r="J64" s="31" t="s">
        <v>374</v>
      </c>
      <c r="K64" s="27" t="s">
        <v>375</v>
      </c>
      <c r="L64" s="28" t="s">
        <v>49</v>
      </c>
      <c r="M64" s="45" t="s">
        <v>376</v>
      </c>
      <c r="N64" s="53" t="s">
        <v>377</v>
      </c>
      <c r="O64" s="44" t="s">
        <v>378</v>
      </c>
      <c r="P64" s="46" t="s">
        <v>53</v>
      </c>
      <c r="Q64" s="47" t="s">
        <v>121</v>
      </c>
    </row>
    <row r="65" spans="1:17" ht="31.5" customHeight="1" x14ac:dyDescent="0.25">
      <c r="A65" s="56"/>
      <c r="B65" s="49"/>
      <c r="C65" s="49"/>
      <c r="D65" s="49"/>
      <c r="E65" s="49"/>
      <c r="F65" s="49"/>
      <c r="G65" s="25">
        <v>2</v>
      </c>
      <c r="H65" s="29" t="s">
        <v>379</v>
      </c>
      <c r="I65" s="52"/>
      <c r="J65" s="31" t="s">
        <v>380</v>
      </c>
      <c r="K65" s="27" t="s">
        <v>381</v>
      </c>
      <c r="L65" s="28" t="s">
        <v>49</v>
      </c>
      <c r="M65" s="45"/>
      <c r="N65" s="45"/>
      <c r="O65" s="45"/>
      <c r="P65" s="45"/>
      <c r="Q65" s="45"/>
    </row>
    <row r="66" spans="1:17" ht="31.5" customHeight="1" x14ac:dyDescent="0.25">
      <c r="A66" s="56"/>
      <c r="B66" s="49"/>
      <c r="C66" s="48"/>
      <c r="D66" s="48"/>
      <c r="E66" s="48"/>
      <c r="F66" s="48"/>
      <c r="G66" s="25">
        <v>3</v>
      </c>
      <c r="H66" s="29" t="s">
        <v>382</v>
      </c>
      <c r="I66" s="52"/>
      <c r="J66" s="31" t="s">
        <v>383</v>
      </c>
      <c r="K66" s="27" t="s">
        <v>384</v>
      </c>
      <c r="L66" s="28" t="s">
        <v>49</v>
      </c>
      <c r="M66" s="45"/>
      <c r="N66" s="45"/>
      <c r="O66" s="45"/>
      <c r="P66" s="45"/>
      <c r="Q66" s="45"/>
    </row>
    <row r="67" spans="1:17" ht="31.5" customHeight="1" x14ac:dyDescent="0.25">
      <c r="A67" s="56"/>
      <c r="B67" s="49"/>
      <c r="C67" s="48" t="s">
        <v>385</v>
      </c>
      <c r="D67" s="45" t="s">
        <v>386</v>
      </c>
      <c r="E67" s="50" t="s">
        <v>43</v>
      </c>
      <c r="F67" s="58" t="s">
        <v>387</v>
      </c>
      <c r="G67" s="25">
        <v>1</v>
      </c>
      <c r="H67" s="29" t="s">
        <v>388</v>
      </c>
      <c r="I67" s="52" t="s">
        <v>389</v>
      </c>
      <c r="J67" s="26" t="s">
        <v>390</v>
      </c>
      <c r="K67" s="27" t="s">
        <v>391</v>
      </c>
      <c r="L67" s="28" t="s">
        <v>49</v>
      </c>
      <c r="M67" s="45" t="s">
        <v>376</v>
      </c>
      <c r="N67" s="53" t="s">
        <v>377</v>
      </c>
      <c r="O67" s="44" t="s">
        <v>392</v>
      </c>
      <c r="P67" s="46" t="s">
        <v>83</v>
      </c>
      <c r="Q67" s="47" t="s">
        <v>121</v>
      </c>
    </row>
    <row r="68" spans="1:17" ht="43.5" customHeight="1" x14ac:dyDescent="0.25">
      <c r="A68" s="56"/>
      <c r="B68" s="49"/>
      <c r="C68" s="48"/>
      <c r="D68" s="48"/>
      <c r="E68" s="48"/>
      <c r="F68" s="48"/>
      <c r="G68" s="25">
        <v>2</v>
      </c>
      <c r="H68" s="7" t="s">
        <v>393</v>
      </c>
      <c r="I68" s="52"/>
      <c r="J68" s="31" t="s">
        <v>394</v>
      </c>
      <c r="K68" s="27" t="s">
        <v>395</v>
      </c>
      <c r="L68" s="28" t="s">
        <v>49</v>
      </c>
      <c r="M68" s="45"/>
      <c r="N68" s="45"/>
      <c r="O68" s="45"/>
      <c r="P68" s="45"/>
      <c r="Q68" s="45"/>
    </row>
    <row r="69" spans="1:17" ht="43.5" customHeight="1" x14ac:dyDescent="0.25">
      <c r="A69" s="56"/>
      <c r="B69" s="49"/>
      <c r="C69" s="11" t="s">
        <v>396</v>
      </c>
      <c r="D69" s="10" t="s">
        <v>397</v>
      </c>
      <c r="E69" s="9" t="s">
        <v>43</v>
      </c>
      <c r="F69" s="2" t="s">
        <v>398</v>
      </c>
      <c r="G69" s="25">
        <v>1</v>
      </c>
      <c r="H69" s="29" t="s">
        <v>399</v>
      </c>
      <c r="I69" s="7" t="s">
        <v>400</v>
      </c>
      <c r="J69" s="31" t="s">
        <v>401</v>
      </c>
      <c r="K69" s="27" t="s">
        <v>402</v>
      </c>
      <c r="L69" s="28" t="s">
        <v>49</v>
      </c>
      <c r="M69" s="10" t="s">
        <v>376</v>
      </c>
      <c r="N69" s="6" t="s">
        <v>377</v>
      </c>
      <c r="O69" s="5" t="s">
        <v>403</v>
      </c>
      <c r="P69" s="4" t="s">
        <v>53</v>
      </c>
      <c r="Q69" s="3" t="s">
        <v>84</v>
      </c>
    </row>
    <row r="70" spans="1:17" ht="43.5" customHeight="1" x14ac:dyDescent="0.25">
      <c r="A70" s="56"/>
      <c r="B70" s="49"/>
      <c r="C70" s="11" t="s">
        <v>404</v>
      </c>
      <c r="D70" s="10" t="s">
        <v>405</v>
      </c>
      <c r="E70" s="9" t="s">
        <v>43</v>
      </c>
      <c r="F70" s="8" t="s">
        <v>113</v>
      </c>
      <c r="G70" s="25">
        <v>1</v>
      </c>
      <c r="H70" s="7" t="s">
        <v>406</v>
      </c>
      <c r="I70" s="7" t="s">
        <v>407</v>
      </c>
      <c r="J70" s="26" t="s">
        <v>408</v>
      </c>
      <c r="K70" s="27" t="s">
        <v>409</v>
      </c>
      <c r="L70" s="28" t="s">
        <v>49</v>
      </c>
      <c r="M70" s="10" t="s">
        <v>410</v>
      </c>
      <c r="N70" s="6" t="s">
        <v>411</v>
      </c>
      <c r="O70" s="5" t="s">
        <v>412</v>
      </c>
      <c r="P70" s="4" t="s">
        <v>53</v>
      </c>
      <c r="Q70" s="3" t="s">
        <v>185</v>
      </c>
    </row>
    <row r="71" spans="1:17" ht="43.5" customHeight="1" x14ac:dyDescent="0.25">
      <c r="A71" s="57"/>
      <c r="B71" s="54"/>
      <c r="C71" s="11" t="s">
        <v>413</v>
      </c>
      <c r="D71" s="10" t="s">
        <v>414</v>
      </c>
      <c r="E71" s="9" t="s">
        <v>43</v>
      </c>
      <c r="F71" s="2" t="s">
        <v>415</v>
      </c>
      <c r="G71" s="25">
        <v>1</v>
      </c>
      <c r="H71" s="7" t="s">
        <v>406</v>
      </c>
      <c r="I71" s="7" t="s">
        <v>416</v>
      </c>
      <c r="J71" s="26" t="s">
        <v>417</v>
      </c>
      <c r="K71" s="27" t="s">
        <v>418</v>
      </c>
      <c r="L71" s="28" t="s">
        <v>166</v>
      </c>
      <c r="M71" s="10" t="s">
        <v>410</v>
      </c>
      <c r="N71" s="6" t="s">
        <v>411</v>
      </c>
      <c r="O71" s="5" t="s">
        <v>419</v>
      </c>
      <c r="P71" s="4" t="s">
        <v>53</v>
      </c>
      <c r="Q71" s="3" t="s">
        <v>185</v>
      </c>
    </row>
  </sheetData>
  <mergeCells count="214">
    <mergeCell ref="A2:A71"/>
    <mergeCell ref="Q64:Q66"/>
    <mergeCell ref="C67:C68"/>
    <mergeCell ref="D67:D68"/>
    <mergeCell ref="E67:E68"/>
    <mergeCell ref="F67:F68"/>
    <mergeCell ref="I67:I68"/>
    <mergeCell ref="M67:M68"/>
    <mergeCell ref="N67:N68"/>
    <mergeCell ref="O67:O68"/>
    <mergeCell ref="P67:P68"/>
    <mergeCell ref="Q67:Q68"/>
    <mergeCell ref="C64:C66"/>
    <mergeCell ref="D64:D66"/>
    <mergeCell ref="E64:E66"/>
    <mergeCell ref="F64:F66"/>
    <mergeCell ref="I64:I66"/>
    <mergeCell ref="M64:M66"/>
    <mergeCell ref="N64:N66"/>
    <mergeCell ref="O64:O66"/>
    <mergeCell ref="P64:P66"/>
    <mergeCell ref="Q54:Q55"/>
    <mergeCell ref="C62:C63"/>
    <mergeCell ref="D62:D63"/>
    <mergeCell ref="E62:E63"/>
    <mergeCell ref="F62:F63"/>
    <mergeCell ref="I62:I63"/>
    <mergeCell ref="M62:M63"/>
    <mergeCell ref="N62:N63"/>
    <mergeCell ref="O62:O63"/>
    <mergeCell ref="P62:P63"/>
    <mergeCell ref="Q62:Q63"/>
    <mergeCell ref="C54:C55"/>
    <mergeCell ref="D54:D55"/>
    <mergeCell ref="E54:E55"/>
    <mergeCell ref="F54:F55"/>
    <mergeCell ref="I54:I55"/>
    <mergeCell ref="M54:M55"/>
    <mergeCell ref="N54:N55"/>
    <mergeCell ref="O54:O55"/>
    <mergeCell ref="P54:P55"/>
    <mergeCell ref="O50:O51"/>
    <mergeCell ref="P50:P51"/>
    <mergeCell ref="Q50:Q51"/>
    <mergeCell ref="C52:C53"/>
    <mergeCell ref="D52:D53"/>
    <mergeCell ref="E52:E53"/>
    <mergeCell ref="F52:F53"/>
    <mergeCell ref="I52:I53"/>
    <mergeCell ref="M52:M53"/>
    <mergeCell ref="N52:N53"/>
    <mergeCell ref="O52:O53"/>
    <mergeCell ref="P52:P53"/>
    <mergeCell ref="Q52:Q53"/>
    <mergeCell ref="P44:P46"/>
    <mergeCell ref="Q44:Q46"/>
    <mergeCell ref="C47:C49"/>
    <mergeCell ref="D47:D49"/>
    <mergeCell ref="E47:E49"/>
    <mergeCell ref="F47:F49"/>
    <mergeCell ref="I47:I49"/>
    <mergeCell ref="M47:M49"/>
    <mergeCell ref="N47:N49"/>
    <mergeCell ref="O47:O49"/>
    <mergeCell ref="P47:P49"/>
    <mergeCell ref="Q47:Q49"/>
    <mergeCell ref="P33:P39"/>
    <mergeCell ref="Q33:Q39"/>
    <mergeCell ref="C41:C42"/>
    <mergeCell ref="D41:D42"/>
    <mergeCell ref="E41:E42"/>
    <mergeCell ref="F41:F42"/>
    <mergeCell ref="I41:I42"/>
    <mergeCell ref="M41:M42"/>
    <mergeCell ref="N41:N42"/>
    <mergeCell ref="O41:O42"/>
    <mergeCell ref="P41:P42"/>
    <mergeCell ref="Q41:Q42"/>
    <mergeCell ref="B33:B71"/>
    <mergeCell ref="C33:C39"/>
    <mergeCell ref="D33:D39"/>
    <mergeCell ref="E33:E39"/>
    <mergeCell ref="F33:F39"/>
    <mergeCell ref="I33:I39"/>
    <mergeCell ref="M33:M39"/>
    <mergeCell ref="N33:N39"/>
    <mergeCell ref="O33:O39"/>
    <mergeCell ref="C44:C46"/>
    <mergeCell ref="D44:D46"/>
    <mergeCell ref="E44:E46"/>
    <mergeCell ref="F44:F46"/>
    <mergeCell ref="I44:I46"/>
    <mergeCell ref="M44:M46"/>
    <mergeCell ref="N44:N46"/>
    <mergeCell ref="O44:O46"/>
    <mergeCell ref="C50:C51"/>
    <mergeCell ref="D50:D51"/>
    <mergeCell ref="E50:E51"/>
    <mergeCell ref="F50:F51"/>
    <mergeCell ref="I50:I51"/>
    <mergeCell ref="M50:M51"/>
    <mergeCell ref="N50:N51"/>
    <mergeCell ref="Q27:Q29"/>
    <mergeCell ref="B31:B32"/>
    <mergeCell ref="C31:C32"/>
    <mergeCell ref="D31:D32"/>
    <mergeCell ref="E31:E32"/>
    <mergeCell ref="F31:F32"/>
    <mergeCell ref="I31:I32"/>
    <mergeCell ref="M31:M32"/>
    <mergeCell ref="N31:N32"/>
    <mergeCell ref="O31:O32"/>
    <mergeCell ref="P31:P32"/>
    <mergeCell ref="Q31:Q32"/>
    <mergeCell ref="C27:C29"/>
    <mergeCell ref="D27:D29"/>
    <mergeCell ref="E27:E29"/>
    <mergeCell ref="F27:F29"/>
    <mergeCell ref="I27:I29"/>
    <mergeCell ref="M27:M29"/>
    <mergeCell ref="N27:N29"/>
    <mergeCell ref="O27:O29"/>
    <mergeCell ref="P27:P29"/>
    <mergeCell ref="B2:B30"/>
    <mergeCell ref="C19:C20"/>
    <mergeCell ref="Q21:Q23"/>
    <mergeCell ref="C25:C26"/>
    <mergeCell ref="D25:D26"/>
    <mergeCell ref="E25:E26"/>
    <mergeCell ref="F25:F26"/>
    <mergeCell ref="I25:I26"/>
    <mergeCell ref="M25:M26"/>
    <mergeCell ref="N25:N26"/>
    <mergeCell ref="O25:O26"/>
    <mergeCell ref="P25:P26"/>
    <mergeCell ref="Q25:Q26"/>
    <mergeCell ref="C21:C23"/>
    <mergeCell ref="D21:D23"/>
    <mergeCell ref="E21:E23"/>
    <mergeCell ref="F21:F23"/>
    <mergeCell ref="I21:I23"/>
    <mergeCell ref="M21:M23"/>
    <mergeCell ref="N21:N23"/>
    <mergeCell ref="O21:O23"/>
    <mergeCell ref="P21:P23"/>
    <mergeCell ref="D19:D20"/>
    <mergeCell ref="E19:E20"/>
    <mergeCell ref="F19:F20"/>
    <mergeCell ref="I19:I20"/>
    <mergeCell ref="M19:M20"/>
    <mergeCell ref="N19:N20"/>
    <mergeCell ref="O19:O20"/>
    <mergeCell ref="P19:P20"/>
    <mergeCell ref="Q19:Q20"/>
    <mergeCell ref="O14:O15"/>
    <mergeCell ref="P14:P15"/>
    <mergeCell ref="Q14:Q15"/>
    <mergeCell ref="C16:C17"/>
    <mergeCell ref="D16:D17"/>
    <mergeCell ref="E16:E17"/>
    <mergeCell ref="F16:F17"/>
    <mergeCell ref="I16:I17"/>
    <mergeCell ref="M16:M17"/>
    <mergeCell ref="N16:N17"/>
    <mergeCell ref="O16:O17"/>
    <mergeCell ref="P16:P17"/>
    <mergeCell ref="Q16:Q17"/>
    <mergeCell ref="C14:C15"/>
    <mergeCell ref="D14:D15"/>
    <mergeCell ref="E14:E15"/>
    <mergeCell ref="F14:F15"/>
    <mergeCell ref="I14:I15"/>
    <mergeCell ref="M14:M15"/>
    <mergeCell ref="N14:N15"/>
    <mergeCell ref="O8:O10"/>
    <mergeCell ref="P8:P10"/>
    <mergeCell ref="Q8:Q10"/>
    <mergeCell ref="C11:C13"/>
    <mergeCell ref="D11:D13"/>
    <mergeCell ref="E11:E13"/>
    <mergeCell ref="F11:F13"/>
    <mergeCell ref="I11:I13"/>
    <mergeCell ref="M11:M13"/>
    <mergeCell ref="N11:N13"/>
    <mergeCell ref="O11:O13"/>
    <mergeCell ref="P11:P13"/>
    <mergeCell ref="Q11:Q13"/>
    <mergeCell ref="C8:C10"/>
    <mergeCell ref="D8:D10"/>
    <mergeCell ref="E8:E10"/>
    <mergeCell ref="F8:F10"/>
    <mergeCell ref="I8:I10"/>
    <mergeCell ref="M8:M10"/>
    <mergeCell ref="N8:N10"/>
    <mergeCell ref="O2:O4"/>
    <mergeCell ref="P2:P4"/>
    <mergeCell ref="Q2:Q4"/>
    <mergeCell ref="C5:C7"/>
    <mergeCell ref="D5:D7"/>
    <mergeCell ref="E5:E7"/>
    <mergeCell ref="F5:F7"/>
    <mergeCell ref="I5:I7"/>
    <mergeCell ref="M5:M7"/>
    <mergeCell ref="N5:N7"/>
    <mergeCell ref="O5:O7"/>
    <mergeCell ref="P5:P7"/>
    <mergeCell ref="Q5:Q7"/>
    <mergeCell ref="C2:C4"/>
    <mergeCell ref="D2:D4"/>
    <mergeCell ref="E2:E4"/>
    <mergeCell ref="F2:F4"/>
    <mergeCell ref="I2:I4"/>
    <mergeCell ref="M2:M4"/>
    <mergeCell ref="N2:N4"/>
  </mergeCells>
  <conditionalFormatting sqref="L2:L71">
    <cfRule type="cellIs" dxfId="9" priority="2" operator="equal">
      <formula>"Réussi"</formula>
    </cfRule>
    <cfRule type="cellIs" dxfId="8" priority="3" operator="equal">
      <formula>"Échoué"</formula>
    </cfRule>
    <cfRule type="cellIs" dxfId="7" priority="4" operator="equal">
      <formula>"Bloqué"</formula>
    </cfRule>
  </conditionalFormatting>
  <dataValidations count="1">
    <dataValidation type="list" allowBlank="1" sqref="L2:L71" xr:uid="{00000000-0002-0000-0100-000000000000}">
      <formula1>"Non exécuté,Réussi,Échoué,Bloqué"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zoomScaleNormal="100"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B21" sqref="B21"/>
    </sheetView>
  </sheetViews>
  <sheetFormatPr baseColWidth="10" defaultColWidth="8.6640625" defaultRowHeight="13.2" x14ac:dyDescent="0.25"/>
  <cols>
    <col min="1" max="1" width="9" customWidth="1"/>
    <col min="2" max="2" width="28" customWidth="1"/>
    <col min="3" max="3" width="30" customWidth="1"/>
    <col min="4" max="4" width="60" customWidth="1"/>
    <col min="5" max="6" width="9" customWidth="1"/>
    <col min="7" max="8" width="10" customWidth="1"/>
    <col min="9" max="9" width="14" customWidth="1"/>
    <col min="10" max="10" width="20" customWidth="1"/>
    <col min="11" max="11" width="40" customWidth="1"/>
  </cols>
  <sheetData>
    <row r="1" spans="1:11" ht="28.5" customHeight="1" x14ac:dyDescent="0.25">
      <c r="A1" s="32" t="s">
        <v>466</v>
      </c>
      <c r="B1" s="32" t="s">
        <v>467</v>
      </c>
      <c r="C1" s="32" t="s">
        <v>468</v>
      </c>
      <c r="D1" s="32" t="s">
        <v>469</v>
      </c>
      <c r="E1" s="32" t="s">
        <v>470</v>
      </c>
      <c r="F1" s="32" t="s">
        <v>37</v>
      </c>
      <c r="G1" s="32" t="s">
        <v>471</v>
      </c>
      <c r="H1" s="32" t="s">
        <v>472</v>
      </c>
      <c r="I1" s="32" t="s">
        <v>473</v>
      </c>
      <c r="J1" s="32" t="s">
        <v>474</v>
      </c>
      <c r="K1" s="32" t="s">
        <v>475</v>
      </c>
    </row>
    <row r="2" spans="1:11" ht="26.25" customHeight="1" x14ac:dyDescent="0.25">
      <c r="A2" s="33" t="s">
        <v>476</v>
      </c>
      <c r="B2" s="34" t="s">
        <v>477</v>
      </c>
      <c r="C2" s="34" t="s">
        <v>478</v>
      </c>
      <c r="D2" s="34" t="s">
        <v>479</v>
      </c>
      <c r="E2" s="33" t="s">
        <v>480</v>
      </c>
      <c r="F2" s="33" t="s">
        <v>53</v>
      </c>
      <c r="G2" s="33">
        <f>COUNTIF(Scénarios!$C$2:$C$14,"*"&amp;A2&amp;"*")</f>
        <v>1</v>
      </c>
      <c r="H2" s="33">
        <f>COUNTIF(Index_CT!$D$2:$D$36,"*"&amp;A2&amp;"*")</f>
        <v>1</v>
      </c>
      <c r="I2" s="33" t="str">
        <f t="shared" ref="I2:I20" si="0">IF(AND(G2&gt;0,H2&gt;0),"Couverte","NON COUVERTE")</f>
        <v>Couverte</v>
      </c>
      <c r="J2" s="34" t="s">
        <v>51</v>
      </c>
      <c r="K2" s="34" t="s">
        <v>41</v>
      </c>
    </row>
    <row r="3" spans="1:11" ht="39" customHeight="1" x14ac:dyDescent="0.25">
      <c r="A3" s="33" t="s">
        <v>65</v>
      </c>
      <c r="B3" s="34" t="s">
        <v>477</v>
      </c>
      <c r="C3" s="34" t="s">
        <v>481</v>
      </c>
      <c r="D3" s="34" t="s">
        <v>482</v>
      </c>
      <c r="E3" s="33" t="s">
        <v>483</v>
      </c>
      <c r="F3" s="33" t="s">
        <v>53</v>
      </c>
      <c r="G3" s="33">
        <f>COUNTIF(Scénarios!$C$2:$C$14,"*"&amp;A3&amp;"*")</f>
        <v>1</v>
      </c>
      <c r="H3" s="33">
        <f>COUNTIF(Index_CT!$D$2:$D$36,"*"&amp;A3&amp;"*")</f>
        <v>3</v>
      </c>
      <c r="I3" s="33" t="str">
        <f t="shared" si="0"/>
        <v>Couverte</v>
      </c>
      <c r="J3" s="34" t="s">
        <v>66</v>
      </c>
      <c r="K3" s="34" t="s">
        <v>484</v>
      </c>
    </row>
    <row r="4" spans="1:11" ht="26.25" customHeight="1" x14ac:dyDescent="0.25">
      <c r="A4" s="33" t="s">
        <v>92</v>
      </c>
      <c r="B4" s="34" t="s">
        <v>477</v>
      </c>
      <c r="C4" s="34" t="s">
        <v>485</v>
      </c>
      <c r="D4" s="34" t="s">
        <v>486</v>
      </c>
      <c r="E4" s="33" t="s">
        <v>483</v>
      </c>
      <c r="F4" s="33" t="s">
        <v>53</v>
      </c>
      <c r="G4" s="33">
        <f>COUNTIF(Scénarios!$C$2:$C$14,"*"&amp;A4&amp;"*")</f>
        <v>1</v>
      </c>
      <c r="H4" s="33">
        <f>COUNTIF(Index_CT!$D$2:$D$36,"*"&amp;A4&amp;"*")</f>
        <v>3</v>
      </c>
      <c r="I4" s="33" t="str">
        <f t="shared" si="0"/>
        <v>Couverte</v>
      </c>
      <c r="J4" s="34" t="s">
        <v>93</v>
      </c>
      <c r="K4" s="34" t="s">
        <v>487</v>
      </c>
    </row>
    <row r="5" spans="1:11" x14ac:dyDescent="0.25">
      <c r="A5" s="33" t="s">
        <v>488</v>
      </c>
      <c r="B5" s="34" t="s">
        <v>477</v>
      </c>
      <c r="C5" s="34" t="s">
        <v>489</v>
      </c>
      <c r="D5" s="34" t="s">
        <v>490</v>
      </c>
      <c r="E5" s="33" t="s">
        <v>483</v>
      </c>
      <c r="F5" s="33" t="s">
        <v>83</v>
      </c>
      <c r="G5" s="33">
        <f>COUNTIF(Scénarios!$C$2:$C$14,"*"&amp;A5&amp;"*")</f>
        <v>1</v>
      </c>
      <c r="H5" s="33">
        <f>COUNTIF(Index_CT!$D$2:$D$36,"*"&amp;A5&amp;"*")</f>
        <v>1</v>
      </c>
      <c r="I5" s="33" t="str">
        <f t="shared" si="0"/>
        <v>Couverte</v>
      </c>
      <c r="J5" s="34" t="s">
        <v>51</v>
      </c>
      <c r="K5" s="34" t="s">
        <v>41</v>
      </c>
    </row>
    <row r="6" spans="1:11" ht="26.25" customHeight="1" x14ac:dyDescent="0.25">
      <c r="A6" s="33" t="s">
        <v>118</v>
      </c>
      <c r="B6" s="34" t="s">
        <v>477</v>
      </c>
      <c r="C6" s="34" t="s">
        <v>491</v>
      </c>
      <c r="D6" s="34" t="s">
        <v>492</v>
      </c>
      <c r="E6" s="33" t="s">
        <v>483</v>
      </c>
      <c r="F6" s="33" t="s">
        <v>53</v>
      </c>
      <c r="G6" s="33">
        <f>COUNTIF(Scénarios!$C$2:$C$14,"*"&amp;A6&amp;"*")</f>
        <v>1</v>
      </c>
      <c r="H6" s="33">
        <f>COUNTIF(Index_CT!$D$2:$D$36,"*"&amp;A6&amp;"*")</f>
        <v>1</v>
      </c>
      <c r="I6" s="33" t="str">
        <f t="shared" si="0"/>
        <v>Couverte</v>
      </c>
      <c r="J6" s="34" t="s">
        <v>119</v>
      </c>
      <c r="K6" s="34" t="s">
        <v>111</v>
      </c>
    </row>
    <row r="7" spans="1:11" ht="39" customHeight="1" x14ac:dyDescent="0.25">
      <c r="A7" s="33" t="s">
        <v>131</v>
      </c>
      <c r="B7" s="34" t="s">
        <v>477</v>
      </c>
      <c r="C7" s="34" t="s">
        <v>493</v>
      </c>
      <c r="D7" s="34" t="s">
        <v>494</v>
      </c>
      <c r="E7" s="33" t="s">
        <v>495</v>
      </c>
      <c r="F7" s="33" t="s">
        <v>53</v>
      </c>
      <c r="G7" s="33">
        <f>COUNTIF(Scénarios!$C$2:$C$14,"*"&amp;A7&amp;"*")</f>
        <v>1</v>
      </c>
      <c r="H7" s="33">
        <f>COUNTIF(Index_CT!$D$2:$D$36,"*"&amp;A7&amp;"*")</f>
        <v>2</v>
      </c>
      <c r="I7" s="33" t="str">
        <f t="shared" si="0"/>
        <v>Couverte</v>
      </c>
      <c r="J7" s="34" t="s">
        <v>119</v>
      </c>
      <c r="K7" s="34" t="s">
        <v>496</v>
      </c>
    </row>
    <row r="8" spans="1:11" ht="26.25" customHeight="1" x14ac:dyDescent="0.25">
      <c r="A8" s="33" t="s">
        <v>154</v>
      </c>
      <c r="B8" s="34" t="s">
        <v>477</v>
      </c>
      <c r="C8" s="34" t="s">
        <v>497</v>
      </c>
      <c r="D8" s="34" t="s">
        <v>498</v>
      </c>
      <c r="E8" s="33" t="s">
        <v>483</v>
      </c>
      <c r="F8" s="33" t="s">
        <v>53</v>
      </c>
      <c r="G8" s="33">
        <f>COUNTIF(Scénarios!$C$2:$C$14,"*"&amp;A8&amp;"*")</f>
        <v>1</v>
      </c>
      <c r="H8" s="33">
        <f>COUNTIF(Index_CT!$D$2:$D$36,"*"&amp;A8&amp;"*")</f>
        <v>2</v>
      </c>
      <c r="I8" s="33" t="str">
        <f t="shared" si="0"/>
        <v>Couverte</v>
      </c>
      <c r="J8" s="34" t="s">
        <v>155</v>
      </c>
      <c r="K8" s="34" t="s">
        <v>499</v>
      </c>
    </row>
    <row r="9" spans="1:11" ht="26.25" customHeight="1" x14ac:dyDescent="0.25">
      <c r="A9" s="33" t="s">
        <v>181</v>
      </c>
      <c r="B9" s="34" t="s">
        <v>477</v>
      </c>
      <c r="C9" s="34" t="s">
        <v>500</v>
      </c>
      <c r="D9" s="34" t="s">
        <v>501</v>
      </c>
      <c r="E9" s="33" t="s">
        <v>483</v>
      </c>
      <c r="F9" s="33" t="s">
        <v>184</v>
      </c>
      <c r="G9" s="33">
        <f>COUNTIF(Scénarios!$C$2:$C$14,"*"&amp;A9&amp;"*")</f>
        <v>1</v>
      </c>
      <c r="H9" s="33">
        <f>COUNTIF(Index_CT!$D$2:$D$36,"*"&amp;A9&amp;"*")</f>
        <v>1</v>
      </c>
      <c r="I9" s="33" t="str">
        <f t="shared" si="0"/>
        <v>Couverte</v>
      </c>
      <c r="J9" s="34" t="s">
        <v>182</v>
      </c>
      <c r="K9" s="34" t="s">
        <v>175</v>
      </c>
    </row>
    <row r="10" spans="1:11" ht="52.5" customHeight="1" x14ac:dyDescent="0.25">
      <c r="A10" s="33" t="s">
        <v>193</v>
      </c>
      <c r="B10" s="34" t="s">
        <v>502</v>
      </c>
      <c r="C10" s="34" t="s">
        <v>503</v>
      </c>
      <c r="D10" s="34" t="s">
        <v>504</v>
      </c>
      <c r="E10" s="33" t="s">
        <v>480</v>
      </c>
      <c r="F10" s="33" t="s">
        <v>184</v>
      </c>
      <c r="G10" s="33">
        <f>COUNTIF(Scénarios!$C$2:$C$14,"*"&amp;A10&amp;"*")</f>
        <v>1</v>
      </c>
      <c r="H10" s="33">
        <f>COUNTIF(Index_CT!$D$2:$D$36,"*"&amp;A10&amp;"*")</f>
        <v>1</v>
      </c>
      <c r="I10" s="33" t="str">
        <f t="shared" si="0"/>
        <v>Couverte</v>
      </c>
      <c r="J10" s="34" t="s">
        <v>194</v>
      </c>
      <c r="K10" s="34" t="s">
        <v>187</v>
      </c>
    </row>
    <row r="11" spans="1:11" ht="52.5" customHeight="1" x14ac:dyDescent="0.25">
      <c r="A11" s="33" t="s">
        <v>208</v>
      </c>
      <c r="B11" s="34" t="s">
        <v>505</v>
      </c>
      <c r="C11" s="34" t="s">
        <v>506</v>
      </c>
      <c r="D11" s="34" t="s">
        <v>507</v>
      </c>
      <c r="E11" s="33" t="s">
        <v>483</v>
      </c>
      <c r="F11" s="33" t="s">
        <v>53</v>
      </c>
      <c r="G11" s="33">
        <f>COUNTIF(Scénarios!$C$2:$C$14,"*"&amp;A11&amp;"*")</f>
        <v>1</v>
      </c>
      <c r="H11" s="33">
        <f>COUNTIF(Index_CT!$D$2:$D$36,"*"&amp;A11&amp;"*")</f>
        <v>2</v>
      </c>
      <c r="I11" s="33" t="str">
        <f t="shared" si="0"/>
        <v>Couverte</v>
      </c>
      <c r="J11" s="34" t="s">
        <v>209</v>
      </c>
      <c r="K11" s="34" t="s">
        <v>508</v>
      </c>
    </row>
    <row r="12" spans="1:11" ht="39" customHeight="1" x14ac:dyDescent="0.25">
      <c r="A12" s="33" t="s">
        <v>253</v>
      </c>
      <c r="B12" s="34" t="s">
        <v>505</v>
      </c>
      <c r="C12" s="34" t="s">
        <v>509</v>
      </c>
      <c r="D12" s="34" t="s">
        <v>510</v>
      </c>
      <c r="E12" s="33" t="s">
        <v>483</v>
      </c>
      <c r="F12" s="33" t="s">
        <v>53</v>
      </c>
      <c r="G12" s="33">
        <f>COUNTIF(Scénarios!$C$2:$C$14,"*"&amp;A12&amp;"*")</f>
        <v>1</v>
      </c>
      <c r="H12" s="33">
        <f>COUNTIF(Index_CT!$D$2:$D$36,"*"&amp;A12&amp;"*")</f>
        <v>4</v>
      </c>
      <c r="I12" s="33" t="str">
        <f t="shared" si="0"/>
        <v>Couverte</v>
      </c>
      <c r="J12" s="34" t="s">
        <v>254</v>
      </c>
      <c r="K12" s="34" t="s">
        <v>511</v>
      </c>
    </row>
    <row r="13" spans="1:11" ht="26.25" customHeight="1" x14ac:dyDescent="0.25">
      <c r="A13" s="33" t="s">
        <v>297</v>
      </c>
      <c r="B13" s="34" t="s">
        <v>505</v>
      </c>
      <c r="C13" s="34" t="s">
        <v>512</v>
      </c>
      <c r="D13" s="34" t="s">
        <v>513</v>
      </c>
      <c r="E13" s="33" t="s">
        <v>483</v>
      </c>
      <c r="F13" s="33" t="s">
        <v>53</v>
      </c>
      <c r="G13" s="33">
        <f>COUNTIF(Scénarios!$C$2:$C$14,"*"&amp;A13&amp;"*")</f>
        <v>1</v>
      </c>
      <c r="H13" s="33">
        <f>COUNTIF(Index_CT!$D$2:$D$36,"*"&amp;A13&amp;"*")</f>
        <v>1</v>
      </c>
      <c r="I13" s="33" t="str">
        <f t="shared" si="0"/>
        <v>Couverte</v>
      </c>
      <c r="J13" s="34" t="s">
        <v>254</v>
      </c>
      <c r="K13" s="34" t="s">
        <v>291</v>
      </c>
    </row>
    <row r="14" spans="1:11" ht="26.25" customHeight="1" x14ac:dyDescent="0.25">
      <c r="A14" s="33" t="s">
        <v>307</v>
      </c>
      <c r="B14" s="34" t="s">
        <v>505</v>
      </c>
      <c r="C14" s="34" t="s">
        <v>514</v>
      </c>
      <c r="D14" s="34" t="s">
        <v>515</v>
      </c>
      <c r="E14" s="33" t="s">
        <v>483</v>
      </c>
      <c r="F14" s="33" t="s">
        <v>53</v>
      </c>
      <c r="G14" s="33">
        <f>COUNTIF(Scénarios!$C$2:$C$14,"*"&amp;A14&amp;"*")</f>
        <v>1</v>
      </c>
      <c r="H14" s="33">
        <f>COUNTIF(Index_CT!$D$2:$D$36,"*"&amp;A14&amp;"*")</f>
        <v>1</v>
      </c>
      <c r="I14" s="33" t="str">
        <f t="shared" si="0"/>
        <v>Couverte</v>
      </c>
      <c r="J14" s="34" t="s">
        <v>308</v>
      </c>
      <c r="K14" s="34" t="s">
        <v>301</v>
      </c>
    </row>
    <row r="15" spans="1:11" ht="66" customHeight="1" x14ac:dyDescent="0.25">
      <c r="A15" s="33" t="s">
        <v>319</v>
      </c>
      <c r="B15" s="34" t="s">
        <v>505</v>
      </c>
      <c r="C15" s="34" t="s">
        <v>516</v>
      </c>
      <c r="D15" s="34" t="s">
        <v>517</v>
      </c>
      <c r="E15" s="33" t="s">
        <v>480</v>
      </c>
      <c r="F15" s="33" t="s">
        <v>53</v>
      </c>
      <c r="G15" s="33">
        <f>COUNTIF(Scénarios!$C$2:$C$14,"*"&amp;A15&amp;"*")</f>
        <v>1</v>
      </c>
      <c r="H15" s="33">
        <f>COUNTIF(Index_CT!$D$2:$D$36,"*"&amp;A15&amp;"*")</f>
        <v>4</v>
      </c>
      <c r="I15" s="33" t="str">
        <f t="shared" si="0"/>
        <v>Couverte</v>
      </c>
      <c r="J15" s="34" t="s">
        <v>308</v>
      </c>
      <c r="K15" s="34" t="s">
        <v>518</v>
      </c>
    </row>
    <row r="16" spans="1:11" ht="26.25" customHeight="1" x14ac:dyDescent="0.25">
      <c r="A16" s="33" t="s">
        <v>243</v>
      </c>
      <c r="B16" s="34" t="s">
        <v>505</v>
      </c>
      <c r="C16" s="34" t="s">
        <v>519</v>
      </c>
      <c r="D16" s="34" t="s">
        <v>520</v>
      </c>
      <c r="E16" s="33" t="s">
        <v>483</v>
      </c>
      <c r="F16" s="33" t="s">
        <v>83</v>
      </c>
      <c r="G16" s="33">
        <f>COUNTIF(Scénarios!$C$2:$C$14,"*"&amp;A16&amp;"*")</f>
        <v>1</v>
      </c>
      <c r="H16" s="33">
        <f>COUNTIF(Index_CT!$D$2:$D$36,"*"&amp;A16&amp;"*")</f>
        <v>1</v>
      </c>
      <c r="I16" s="33" t="str">
        <f t="shared" si="0"/>
        <v>Couverte</v>
      </c>
      <c r="J16" s="34" t="s">
        <v>209</v>
      </c>
      <c r="K16" s="34" t="s">
        <v>237</v>
      </c>
    </row>
    <row r="17" spans="1:11" ht="52.5" customHeight="1" x14ac:dyDescent="0.25">
      <c r="A17" s="33" t="s">
        <v>349</v>
      </c>
      <c r="B17" s="34" t="s">
        <v>505</v>
      </c>
      <c r="C17" s="34" t="s">
        <v>521</v>
      </c>
      <c r="D17" s="34" t="s">
        <v>522</v>
      </c>
      <c r="E17" s="33" t="s">
        <v>483</v>
      </c>
      <c r="F17" s="33" t="s">
        <v>83</v>
      </c>
      <c r="G17" s="33">
        <f>COUNTIF(Scénarios!$C$2:$C$14,"*"&amp;A17&amp;"*")</f>
        <v>1</v>
      </c>
      <c r="H17" s="33">
        <f>COUNTIF(Index_CT!$D$2:$D$36,"*"&amp;A17&amp;"*")</f>
        <v>3</v>
      </c>
      <c r="I17" s="33" t="str">
        <f t="shared" si="0"/>
        <v>Couverte</v>
      </c>
      <c r="J17" s="34" t="s">
        <v>350</v>
      </c>
      <c r="K17" s="34" t="s">
        <v>523</v>
      </c>
    </row>
    <row r="18" spans="1:11" ht="39" customHeight="1" x14ac:dyDescent="0.25">
      <c r="A18" s="33" t="s">
        <v>524</v>
      </c>
      <c r="B18" s="34" t="s">
        <v>505</v>
      </c>
      <c r="C18" s="34" t="s">
        <v>525</v>
      </c>
      <c r="D18" s="34" t="s">
        <v>526</v>
      </c>
      <c r="E18" s="33" t="s">
        <v>483</v>
      </c>
      <c r="F18" s="33" t="s">
        <v>53</v>
      </c>
      <c r="G18" s="33">
        <f>COUNTIF(Scénarios!$C$2:$C$14,"*"&amp;A18&amp;"*")</f>
        <v>1</v>
      </c>
      <c r="H18" s="33">
        <f>COUNTIF(Index_CT!$D$2:$D$36,"*"&amp;A18&amp;"*")</f>
        <v>1</v>
      </c>
      <c r="I18" s="33" t="str">
        <f t="shared" si="0"/>
        <v>Couverte</v>
      </c>
      <c r="J18" s="34" t="s">
        <v>155</v>
      </c>
      <c r="K18" s="34" t="s">
        <v>159</v>
      </c>
    </row>
    <row r="19" spans="1:11" ht="52.5" customHeight="1" x14ac:dyDescent="0.25">
      <c r="A19" s="33" t="s">
        <v>376</v>
      </c>
      <c r="B19" s="34" t="s">
        <v>505</v>
      </c>
      <c r="C19" s="34" t="s">
        <v>527</v>
      </c>
      <c r="D19" s="34" t="s">
        <v>528</v>
      </c>
      <c r="E19" s="33" t="s">
        <v>483</v>
      </c>
      <c r="F19" s="33" t="s">
        <v>53</v>
      </c>
      <c r="G19" s="33">
        <f>COUNTIF(Scénarios!$C$2:$C$14,"*"&amp;A19&amp;"*")</f>
        <v>1</v>
      </c>
      <c r="H19" s="33">
        <f>COUNTIF(Index_CT!$D$2:$D$36,"*"&amp;A19&amp;"*")</f>
        <v>3</v>
      </c>
      <c r="I19" s="33" t="str">
        <f t="shared" si="0"/>
        <v>Couverte</v>
      </c>
      <c r="J19" s="34" t="s">
        <v>377</v>
      </c>
      <c r="K19" s="34" t="s">
        <v>529</v>
      </c>
    </row>
    <row r="20" spans="1:11" ht="26.25" customHeight="1" x14ac:dyDescent="0.25">
      <c r="A20" s="33" t="s">
        <v>410</v>
      </c>
      <c r="B20" s="34" t="s">
        <v>505</v>
      </c>
      <c r="C20" s="34" t="s">
        <v>530</v>
      </c>
      <c r="D20" s="34" t="s">
        <v>531</v>
      </c>
      <c r="E20" s="33" t="s">
        <v>495</v>
      </c>
      <c r="F20" s="33" t="s">
        <v>53</v>
      </c>
      <c r="G20" s="33">
        <f>COUNTIF(Scénarios!$C$2:$C$14,"*"&amp;A20&amp;"*")</f>
        <v>1</v>
      </c>
      <c r="H20" s="33">
        <f>COUNTIF(Index_CT!$D$2:$D$36,"*"&amp;A20&amp;"*")</f>
        <v>2</v>
      </c>
      <c r="I20" s="33" t="str">
        <f t="shared" si="0"/>
        <v>Couverte</v>
      </c>
      <c r="J20" s="34" t="s">
        <v>411</v>
      </c>
      <c r="K20" s="34" t="s">
        <v>532</v>
      </c>
    </row>
  </sheetData>
  <autoFilter ref="A1:K20" xr:uid="{00000000-0009-0000-0000-000002000000}"/>
  <conditionalFormatting sqref="I2:I20">
    <cfRule type="cellIs" dxfId="6" priority="2" operator="equal">
      <formula>"Couverte"</formula>
    </cfRule>
    <cfRule type="cellIs" dxfId="5" priority="3" operator="equal">
      <formula>"NON COUVERTE"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zoomScaleNormal="100" workbookViewId="0">
      <pane xSplit="1" ySplit="1" topLeftCell="D6" activePane="bottomRight" state="frozen"/>
      <selection pane="topRight" activeCell="B1" sqref="B1"/>
      <selection pane="bottomLeft" activeCell="A2" sqref="A2"/>
      <selection pane="bottomRight" activeCell="B26" sqref="B26"/>
    </sheetView>
  </sheetViews>
  <sheetFormatPr baseColWidth="10" defaultColWidth="8.6640625" defaultRowHeight="13.2" x14ac:dyDescent="0.25"/>
  <cols>
    <col min="1" max="1" width="11" customWidth="1"/>
    <col min="2" max="2" width="28" customWidth="1"/>
    <col min="3" max="3" width="22" customWidth="1"/>
    <col min="4" max="4" width="44" customWidth="1"/>
    <col min="5" max="5" width="18" customWidth="1"/>
    <col min="6" max="6" width="9" customWidth="1"/>
    <col min="7" max="7" width="34" customWidth="1"/>
    <col min="8" max="8" width="40" customWidth="1"/>
    <col min="9" max="9" width="10" customWidth="1"/>
    <col min="10" max="10" width="34" customWidth="1"/>
  </cols>
  <sheetData>
    <row r="1" spans="1:10" ht="28.5" customHeight="1" x14ac:dyDescent="0.25">
      <c r="A1" s="32" t="s">
        <v>35</v>
      </c>
      <c r="B1" s="32" t="s">
        <v>467</v>
      </c>
      <c r="C1" s="32" t="s">
        <v>553</v>
      </c>
      <c r="D1" s="32" t="s">
        <v>554</v>
      </c>
      <c r="E1" s="32" t="s">
        <v>555</v>
      </c>
      <c r="F1" s="32" t="s">
        <v>37</v>
      </c>
      <c r="G1" s="32" t="s">
        <v>38</v>
      </c>
      <c r="H1" s="32" t="s">
        <v>556</v>
      </c>
      <c r="I1" s="32" t="s">
        <v>472</v>
      </c>
      <c r="J1" s="32" t="s">
        <v>475</v>
      </c>
    </row>
    <row r="2" spans="1:10" ht="26.25" customHeight="1" x14ac:dyDescent="0.25">
      <c r="A2" s="33" t="s">
        <v>51</v>
      </c>
      <c r="B2" s="34" t="s">
        <v>477</v>
      </c>
      <c r="C2" s="34" t="s">
        <v>50</v>
      </c>
      <c r="D2" s="34" t="s">
        <v>557</v>
      </c>
      <c r="E2" s="34" t="s">
        <v>558</v>
      </c>
      <c r="F2" s="33" t="s">
        <v>53</v>
      </c>
      <c r="G2" s="34" t="s">
        <v>54</v>
      </c>
      <c r="H2" s="34" t="s">
        <v>559</v>
      </c>
      <c r="I2" s="33">
        <f>COUNTIF(Index_CT!$C$2:$C$36,A2)</f>
        <v>1</v>
      </c>
      <c r="J2" s="34" t="s">
        <v>41</v>
      </c>
    </row>
    <row r="3" spans="1:10" ht="26.25" customHeight="1" x14ac:dyDescent="0.25">
      <c r="A3" s="33" t="s">
        <v>66</v>
      </c>
      <c r="B3" s="34" t="s">
        <v>477</v>
      </c>
      <c r="C3" s="34" t="s">
        <v>65</v>
      </c>
      <c r="D3" s="34" t="s">
        <v>560</v>
      </c>
      <c r="E3" s="34" t="s">
        <v>561</v>
      </c>
      <c r="F3" s="33" t="s">
        <v>53</v>
      </c>
      <c r="G3" s="34" t="s">
        <v>562</v>
      </c>
      <c r="H3" s="34" t="s">
        <v>563</v>
      </c>
      <c r="I3" s="33">
        <f>COUNTIF(Index_CT!$C$2:$C$36,A3)</f>
        <v>3</v>
      </c>
      <c r="J3" s="34" t="s">
        <v>484</v>
      </c>
    </row>
    <row r="4" spans="1:10" ht="26.25" customHeight="1" x14ac:dyDescent="0.25">
      <c r="A4" s="33" t="s">
        <v>93</v>
      </c>
      <c r="B4" s="34" t="s">
        <v>477</v>
      </c>
      <c r="C4" s="34" t="s">
        <v>92</v>
      </c>
      <c r="D4" s="34" t="s">
        <v>564</v>
      </c>
      <c r="E4" s="34" t="s">
        <v>561</v>
      </c>
      <c r="F4" s="33" t="s">
        <v>53</v>
      </c>
      <c r="G4" s="34" t="s">
        <v>54</v>
      </c>
      <c r="H4" s="34" t="s">
        <v>565</v>
      </c>
      <c r="I4" s="33">
        <f>COUNTIF(Index_CT!$C$2:$C$36,A4)</f>
        <v>3</v>
      </c>
      <c r="J4" s="34" t="s">
        <v>487</v>
      </c>
    </row>
    <row r="5" spans="1:10" ht="26.25" customHeight="1" x14ac:dyDescent="0.25">
      <c r="A5" s="33" t="s">
        <v>119</v>
      </c>
      <c r="B5" s="34" t="s">
        <v>477</v>
      </c>
      <c r="C5" s="34" t="s">
        <v>566</v>
      </c>
      <c r="D5" s="34" t="s">
        <v>567</v>
      </c>
      <c r="E5" s="34" t="s">
        <v>568</v>
      </c>
      <c r="F5" s="33" t="s">
        <v>53</v>
      </c>
      <c r="G5" s="34" t="s">
        <v>121</v>
      </c>
      <c r="H5" s="34" t="s">
        <v>569</v>
      </c>
      <c r="I5" s="33">
        <f>COUNTIF(Index_CT!$C$2:$C$36,A5)</f>
        <v>3</v>
      </c>
      <c r="J5" s="34" t="s">
        <v>570</v>
      </c>
    </row>
    <row r="6" spans="1:10" ht="26.25" customHeight="1" x14ac:dyDescent="0.25">
      <c r="A6" s="33" t="s">
        <v>155</v>
      </c>
      <c r="B6" s="34" t="s">
        <v>477</v>
      </c>
      <c r="C6" s="34" t="s">
        <v>571</v>
      </c>
      <c r="D6" s="34" t="s">
        <v>572</v>
      </c>
      <c r="E6" s="34" t="s">
        <v>568</v>
      </c>
      <c r="F6" s="33" t="s">
        <v>53</v>
      </c>
      <c r="G6" s="34" t="s">
        <v>573</v>
      </c>
      <c r="H6" s="34" t="s">
        <v>574</v>
      </c>
      <c r="I6" s="33">
        <f>COUNTIF(Index_CT!$C$2:$C$36,A6)</f>
        <v>2</v>
      </c>
      <c r="J6" s="34" t="s">
        <v>499</v>
      </c>
    </row>
    <row r="7" spans="1:10" ht="26.25" customHeight="1" x14ac:dyDescent="0.25">
      <c r="A7" s="33" t="s">
        <v>182</v>
      </c>
      <c r="B7" s="34" t="s">
        <v>477</v>
      </c>
      <c r="C7" s="34" t="s">
        <v>181</v>
      </c>
      <c r="D7" s="34" t="s">
        <v>575</v>
      </c>
      <c r="E7" s="34" t="s">
        <v>558</v>
      </c>
      <c r="F7" s="33" t="s">
        <v>184</v>
      </c>
      <c r="G7" s="34" t="s">
        <v>185</v>
      </c>
      <c r="H7" s="34" t="s">
        <v>576</v>
      </c>
      <c r="I7" s="33">
        <f>COUNTIF(Index_CT!$C$2:$C$36,A7)</f>
        <v>1</v>
      </c>
      <c r="J7" s="34" t="s">
        <v>175</v>
      </c>
    </row>
    <row r="8" spans="1:10" ht="26.25" customHeight="1" x14ac:dyDescent="0.25">
      <c r="A8" s="33" t="s">
        <v>194</v>
      </c>
      <c r="B8" s="34" t="s">
        <v>502</v>
      </c>
      <c r="C8" s="34" t="s">
        <v>193</v>
      </c>
      <c r="D8" s="34" t="s">
        <v>577</v>
      </c>
      <c r="E8" s="34" t="s">
        <v>558</v>
      </c>
      <c r="F8" s="33" t="s">
        <v>184</v>
      </c>
      <c r="G8" s="34" t="s">
        <v>196</v>
      </c>
      <c r="H8" s="34" t="s">
        <v>578</v>
      </c>
      <c r="I8" s="33">
        <f>COUNTIF(Index_CT!$C$2:$C$36,A8)</f>
        <v>1</v>
      </c>
      <c r="J8" s="34" t="s">
        <v>187</v>
      </c>
    </row>
    <row r="9" spans="1:10" ht="26.25" customHeight="1" x14ac:dyDescent="0.25">
      <c r="A9" s="33" t="s">
        <v>209</v>
      </c>
      <c r="B9" s="34" t="s">
        <v>505</v>
      </c>
      <c r="C9" s="34" t="s">
        <v>579</v>
      </c>
      <c r="D9" s="34" t="s">
        <v>580</v>
      </c>
      <c r="E9" s="34" t="s">
        <v>568</v>
      </c>
      <c r="F9" s="33" t="s">
        <v>53</v>
      </c>
      <c r="G9" s="34" t="s">
        <v>185</v>
      </c>
      <c r="H9" s="34" t="s">
        <v>581</v>
      </c>
      <c r="I9" s="33">
        <f>COUNTIF(Index_CT!$C$2:$C$36,A9)</f>
        <v>3</v>
      </c>
      <c r="J9" s="34" t="s">
        <v>582</v>
      </c>
    </row>
    <row r="10" spans="1:10" ht="39" customHeight="1" x14ac:dyDescent="0.25">
      <c r="A10" s="33" t="s">
        <v>254</v>
      </c>
      <c r="B10" s="34" t="s">
        <v>505</v>
      </c>
      <c r="C10" s="34" t="s">
        <v>583</v>
      </c>
      <c r="D10" s="34" t="s">
        <v>584</v>
      </c>
      <c r="E10" s="34" t="s">
        <v>585</v>
      </c>
      <c r="F10" s="33" t="s">
        <v>53</v>
      </c>
      <c r="G10" s="34" t="s">
        <v>586</v>
      </c>
      <c r="H10" s="34" t="s">
        <v>587</v>
      </c>
      <c r="I10" s="33">
        <f>COUNTIF(Index_CT!$C$2:$C$36,A10)</f>
        <v>5</v>
      </c>
      <c r="J10" s="34" t="s">
        <v>588</v>
      </c>
    </row>
    <row r="11" spans="1:10" ht="39" customHeight="1" x14ac:dyDescent="0.25">
      <c r="A11" s="33" t="s">
        <v>308</v>
      </c>
      <c r="B11" s="34" t="s">
        <v>505</v>
      </c>
      <c r="C11" s="34" t="s">
        <v>589</v>
      </c>
      <c r="D11" s="34" t="s">
        <v>590</v>
      </c>
      <c r="E11" s="34" t="s">
        <v>591</v>
      </c>
      <c r="F11" s="33" t="s">
        <v>53</v>
      </c>
      <c r="G11" s="34" t="s">
        <v>586</v>
      </c>
      <c r="H11" s="34" t="s">
        <v>592</v>
      </c>
      <c r="I11" s="33">
        <f>COUNTIF(Index_CT!$C$2:$C$36,A11)</f>
        <v>5</v>
      </c>
      <c r="J11" s="34" t="s">
        <v>593</v>
      </c>
    </row>
    <row r="12" spans="1:10" ht="26.25" customHeight="1" x14ac:dyDescent="0.25">
      <c r="A12" s="33" t="s">
        <v>350</v>
      </c>
      <c r="B12" s="34" t="s">
        <v>505</v>
      </c>
      <c r="C12" s="34" t="s">
        <v>349</v>
      </c>
      <c r="D12" s="34" t="s">
        <v>594</v>
      </c>
      <c r="E12" s="34" t="s">
        <v>568</v>
      </c>
      <c r="F12" s="33" t="s">
        <v>83</v>
      </c>
      <c r="G12" s="34" t="s">
        <v>185</v>
      </c>
      <c r="H12" s="34" t="s">
        <v>595</v>
      </c>
      <c r="I12" s="33">
        <f>COUNTIF(Index_CT!$C$2:$C$36,A12)</f>
        <v>3</v>
      </c>
      <c r="J12" s="34" t="s">
        <v>523</v>
      </c>
    </row>
    <row r="13" spans="1:10" ht="26.25" customHeight="1" x14ac:dyDescent="0.25">
      <c r="A13" s="33" t="s">
        <v>377</v>
      </c>
      <c r="B13" s="34" t="s">
        <v>505</v>
      </c>
      <c r="C13" s="34" t="s">
        <v>376</v>
      </c>
      <c r="D13" s="34" t="s">
        <v>596</v>
      </c>
      <c r="E13" s="34" t="s">
        <v>568</v>
      </c>
      <c r="F13" s="33" t="s">
        <v>53</v>
      </c>
      <c r="G13" s="34" t="s">
        <v>597</v>
      </c>
      <c r="H13" s="34" t="s">
        <v>598</v>
      </c>
      <c r="I13" s="33">
        <f>COUNTIF(Index_CT!$C$2:$C$36,A13)</f>
        <v>3</v>
      </c>
      <c r="J13" s="34" t="s">
        <v>529</v>
      </c>
    </row>
    <row r="14" spans="1:10" ht="26.25" customHeight="1" x14ac:dyDescent="0.25">
      <c r="A14" s="33" t="s">
        <v>411</v>
      </c>
      <c r="B14" s="34" t="s">
        <v>505</v>
      </c>
      <c r="C14" s="34" t="s">
        <v>410</v>
      </c>
      <c r="D14" s="34" t="s">
        <v>599</v>
      </c>
      <c r="E14" s="34" t="s">
        <v>568</v>
      </c>
      <c r="F14" s="33" t="s">
        <v>53</v>
      </c>
      <c r="G14" s="34" t="s">
        <v>185</v>
      </c>
      <c r="H14" s="34" t="s">
        <v>600</v>
      </c>
      <c r="I14" s="33">
        <f>COUNTIF(Index_CT!$C$2:$C$36,A14)</f>
        <v>2</v>
      </c>
      <c r="J14" s="34" t="s">
        <v>532</v>
      </c>
    </row>
  </sheetData>
  <autoFilter ref="A1:J14" xr:uid="{00000000-0009-0000-0000-000003000000}"/>
  <conditionalFormatting sqref="I2:I14">
    <cfRule type="cellIs" dxfId="4" priority="2" operator="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zoomScaleNormal="100" workbookViewId="0">
      <pane xSplit="1" ySplit="1" topLeftCell="B27" activePane="bottomRight" state="frozen"/>
      <selection pane="topRight" activeCell="B1" sqref="B1"/>
      <selection pane="bottomLeft" activeCell="A2" sqref="A2"/>
      <selection pane="bottomRight" activeCell="E37" sqref="E37"/>
    </sheetView>
  </sheetViews>
  <sheetFormatPr baseColWidth="10" defaultColWidth="8.6640625" defaultRowHeight="13.2" x14ac:dyDescent="0.25"/>
  <cols>
    <col min="1" max="1" width="9" customWidth="1"/>
    <col min="2" max="2" width="44" customWidth="1"/>
    <col min="3" max="3" width="11" customWidth="1"/>
    <col min="4" max="4" width="20" customWidth="1"/>
    <col min="5" max="5" width="30" customWidth="1"/>
    <col min="6" max="6" width="9" customWidth="1"/>
    <col min="7" max="7" width="30" customWidth="1"/>
    <col min="8" max="9" width="12" customWidth="1"/>
    <col min="10" max="10" width="10" customWidth="1"/>
    <col min="11" max="12" width="12" customWidth="1"/>
    <col min="13" max="13" width="13" customWidth="1"/>
    <col min="14" max="14" width="11" customWidth="1"/>
  </cols>
  <sheetData>
    <row r="1" spans="1:14" ht="42.75" customHeight="1" x14ac:dyDescent="0.25">
      <c r="A1" s="32" t="s">
        <v>601</v>
      </c>
      <c r="B1" s="32" t="s">
        <v>468</v>
      </c>
      <c r="C1" s="32" t="s">
        <v>35</v>
      </c>
      <c r="D1" s="32" t="s">
        <v>553</v>
      </c>
      <c r="E1" s="32" t="s">
        <v>467</v>
      </c>
      <c r="F1" s="32" t="s">
        <v>37</v>
      </c>
      <c r="G1" s="32" t="s">
        <v>38</v>
      </c>
      <c r="H1" s="32" t="s">
        <v>555</v>
      </c>
      <c r="I1" s="32" t="s">
        <v>602</v>
      </c>
      <c r="J1" s="32" t="s">
        <v>603</v>
      </c>
      <c r="K1" s="32" t="s">
        <v>604</v>
      </c>
      <c r="L1" s="32" t="s">
        <v>605</v>
      </c>
      <c r="M1" s="32" t="s">
        <v>606</v>
      </c>
      <c r="N1" s="32" t="s">
        <v>607</v>
      </c>
    </row>
    <row r="2" spans="1:14" x14ac:dyDescent="0.25">
      <c r="A2" s="33" t="s">
        <v>41</v>
      </c>
      <c r="B2" s="34" t="s">
        <v>42</v>
      </c>
      <c r="C2" s="33" t="s">
        <v>51</v>
      </c>
      <c r="D2" s="34" t="s">
        <v>50</v>
      </c>
      <c r="E2" s="34" t="s">
        <v>477</v>
      </c>
      <c r="F2" s="33" t="s">
        <v>53</v>
      </c>
      <c r="G2" s="34" t="s">
        <v>54</v>
      </c>
      <c r="H2" s="34" t="s">
        <v>558</v>
      </c>
      <c r="I2" s="33" t="s">
        <v>49</v>
      </c>
      <c r="J2" s="33">
        <f t="shared" ref="J2:J33" si="0">IF(D2="",0,LEN(D2)-LEN(SUBSTITUTE(D2,",",""))+1)</f>
        <v>2</v>
      </c>
      <c r="K2" s="33" t="str">
        <f>IF(COUNTIF(Scénarios!$A$2:$A$14,C2)=1,"OK","MANQUANT")</f>
        <v>OK</v>
      </c>
      <c r="L2" s="33" t="str">
        <f>IF(SUMPRODUCT(ISNUMBER(SEARCH(Exigences!$A$2:$A$20,D2))*1)=J2,"OK","INCONNU")</f>
        <v>OK</v>
      </c>
      <c r="M2" s="33" t="str">
        <f>IF(SUMPRODUCT(ISNUMBER(SEARCH(Exigences!$A$2:$A$20,D2))*ISNUMBER(SEARCH(Exigences!$A$2:$A$20,INDEX(Scénarios!$C$2:$C$14,MATCH(C2,Scénarios!$A$2:$A$14,0)))))=J2,"OK","À VÉRIFIER")</f>
        <v>OK</v>
      </c>
      <c r="N2" s="33">
        <f>COUNTIF(Sheet2!$C$2:$C$71,A2)</f>
        <v>1</v>
      </c>
    </row>
    <row r="3" spans="1:14" ht="26.25" customHeight="1" x14ac:dyDescent="0.25">
      <c r="A3" s="33" t="s">
        <v>61</v>
      </c>
      <c r="B3" s="34" t="s">
        <v>62</v>
      </c>
      <c r="C3" s="33" t="s">
        <v>66</v>
      </c>
      <c r="D3" s="34" t="s">
        <v>65</v>
      </c>
      <c r="E3" s="34" t="s">
        <v>477</v>
      </c>
      <c r="F3" s="33" t="s">
        <v>53</v>
      </c>
      <c r="G3" s="34" t="s">
        <v>54</v>
      </c>
      <c r="H3" s="34" t="s">
        <v>561</v>
      </c>
      <c r="I3" s="33" t="s">
        <v>49</v>
      </c>
      <c r="J3" s="33">
        <f t="shared" si="0"/>
        <v>1</v>
      </c>
      <c r="K3" s="33" t="str">
        <f>IF(COUNTIF(Scénarios!$A$2:$A$14,C3)=1,"OK","MANQUANT")</f>
        <v>OK</v>
      </c>
      <c r="L3" s="33" t="str">
        <f>IF(SUMPRODUCT(ISNUMBER(SEARCH(Exigences!$A$2:$A$20,D3))*1)=J3,"OK","INCONNU")</f>
        <v>OK</v>
      </c>
      <c r="M3" s="33" t="str">
        <f>IF(SUMPRODUCT(ISNUMBER(SEARCH(Exigences!$A$2:$A$20,D3))*ISNUMBER(SEARCH(Exigences!$A$2:$A$20,INDEX(Scénarios!$C$2:$C$14,MATCH(C3,Scénarios!$A$2:$A$14,0)))))=J3,"OK","À VÉRIFIER")</f>
        <v>OK</v>
      </c>
      <c r="N3" s="33">
        <f>COUNTIF(Sheet2!$C$2:$C$71,A3)</f>
        <v>1</v>
      </c>
    </row>
    <row r="4" spans="1:14" ht="26.25" customHeight="1" x14ac:dyDescent="0.25">
      <c r="A4" s="33" t="s">
        <v>72</v>
      </c>
      <c r="B4" s="34" t="s">
        <v>73</v>
      </c>
      <c r="C4" s="33" t="s">
        <v>66</v>
      </c>
      <c r="D4" s="34" t="s">
        <v>65</v>
      </c>
      <c r="E4" s="34" t="s">
        <v>477</v>
      </c>
      <c r="F4" s="33" t="s">
        <v>53</v>
      </c>
      <c r="G4" s="34" t="s">
        <v>54</v>
      </c>
      <c r="H4" s="34" t="s">
        <v>561</v>
      </c>
      <c r="I4" s="33" t="s">
        <v>49</v>
      </c>
      <c r="J4" s="33">
        <f t="shared" si="0"/>
        <v>1</v>
      </c>
      <c r="K4" s="33" t="str">
        <f>IF(COUNTIF(Scénarios!$A$2:$A$14,C4)=1,"OK","MANQUANT")</f>
        <v>OK</v>
      </c>
      <c r="L4" s="33" t="str">
        <f>IF(SUMPRODUCT(ISNUMBER(SEARCH(Exigences!$A$2:$A$20,D4))*1)=J4,"OK","INCONNU")</f>
        <v>OK</v>
      </c>
      <c r="M4" s="33" t="str">
        <f>IF(SUMPRODUCT(ISNUMBER(SEARCH(Exigences!$A$2:$A$20,D4))*ISNUMBER(SEARCH(Exigences!$A$2:$A$20,INDEX(Scénarios!$C$2:$C$14,MATCH(C4,Scénarios!$A$2:$A$14,0)))))=J4,"OK","À VÉRIFIER")</f>
        <v>OK</v>
      </c>
      <c r="N4" s="33">
        <f>COUNTIF(Sheet2!$C$2:$C$71,A4)</f>
        <v>1</v>
      </c>
    </row>
    <row r="5" spans="1:14" ht="26.25" customHeight="1" x14ac:dyDescent="0.25">
      <c r="A5" s="33" t="s">
        <v>79</v>
      </c>
      <c r="B5" s="34" t="s">
        <v>80</v>
      </c>
      <c r="C5" s="33" t="s">
        <v>66</v>
      </c>
      <c r="D5" s="34" t="s">
        <v>65</v>
      </c>
      <c r="E5" s="34" t="s">
        <v>477</v>
      </c>
      <c r="F5" s="33" t="s">
        <v>83</v>
      </c>
      <c r="G5" s="34" t="s">
        <v>84</v>
      </c>
      <c r="H5" s="34" t="s">
        <v>561</v>
      </c>
      <c r="I5" s="33" t="s">
        <v>49</v>
      </c>
      <c r="J5" s="33">
        <f t="shared" si="0"/>
        <v>1</v>
      </c>
      <c r="K5" s="33" t="str">
        <f>IF(COUNTIF(Scénarios!$A$2:$A$14,C5)=1,"OK","MANQUANT")</f>
        <v>OK</v>
      </c>
      <c r="L5" s="33" t="str">
        <f>IF(SUMPRODUCT(ISNUMBER(SEARCH(Exigences!$A$2:$A$20,D5))*1)=J5,"OK","INCONNU")</f>
        <v>OK</v>
      </c>
      <c r="M5" s="33" t="str">
        <f>IF(SUMPRODUCT(ISNUMBER(SEARCH(Exigences!$A$2:$A$20,D5))*ISNUMBER(SEARCH(Exigences!$A$2:$A$20,INDEX(Scénarios!$C$2:$C$14,MATCH(C5,Scénarios!$A$2:$A$14,0)))))=J5,"OK","À VÉRIFIER")</f>
        <v>OK</v>
      </c>
      <c r="N5" s="33">
        <f>COUNTIF(Sheet2!$C$2:$C$71,A5)</f>
        <v>1</v>
      </c>
    </row>
    <row r="6" spans="1:14" x14ac:dyDescent="0.25">
      <c r="A6" s="33" t="s">
        <v>87</v>
      </c>
      <c r="B6" s="34" t="s">
        <v>88</v>
      </c>
      <c r="C6" s="33" t="s">
        <v>93</v>
      </c>
      <c r="D6" s="34" t="s">
        <v>92</v>
      </c>
      <c r="E6" s="34" t="s">
        <v>477</v>
      </c>
      <c r="F6" s="33" t="s">
        <v>53</v>
      </c>
      <c r="G6" s="34" t="s">
        <v>54</v>
      </c>
      <c r="H6" s="34" t="s">
        <v>561</v>
      </c>
      <c r="I6" s="33" t="s">
        <v>49</v>
      </c>
      <c r="J6" s="33">
        <f t="shared" si="0"/>
        <v>1</v>
      </c>
      <c r="K6" s="33" t="str">
        <f>IF(COUNTIF(Scénarios!$A$2:$A$14,C6)=1,"OK","MANQUANT")</f>
        <v>OK</v>
      </c>
      <c r="L6" s="33" t="str">
        <f>IF(SUMPRODUCT(ISNUMBER(SEARCH(Exigences!$A$2:$A$20,D6))*1)=J6,"OK","INCONNU")</f>
        <v>OK</v>
      </c>
      <c r="M6" s="33" t="str">
        <f>IF(SUMPRODUCT(ISNUMBER(SEARCH(Exigences!$A$2:$A$20,D6))*ISNUMBER(SEARCH(Exigences!$A$2:$A$20,INDEX(Scénarios!$C$2:$C$14,MATCH(C6,Scénarios!$A$2:$A$14,0)))))=J6,"OK","À VÉRIFIER")</f>
        <v>OK</v>
      </c>
      <c r="N6" s="33">
        <f>COUNTIF(Sheet2!$C$2:$C$71,A6)</f>
        <v>1</v>
      </c>
    </row>
    <row r="7" spans="1:14" x14ac:dyDescent="0.25">
      <c r="A7" s="33" t="s">
        <v>97</v>
      </c>
      <c r="B7" s="34" t="s">
        <v>98</v>
      </c>
      <c r="C7" s="33" t="s">
        <v>93</v>
      </c>
      <c r="D7" s="34" t="s">
        <v>92</v>
      </c>
      <c r="E7" s="34" t="s">
        <v>477</v>
      </c>
      <c r="F7" s="33" t="s">
        <v>53</v>
      </c>
      <c r="G7" s="34" t="s">
        <v>54</v>
      </c>
      <c r="H7" s="34" t="s">
        <v>561</v>
      </c>
      <c r="I7" s="33" t="s">
        <v>49</v>
      </c>
      <c r="J7" s="33">
        <f t="shared" si="0"/>
        <v>1</v>
      </c>
      <c r="K7" s="33" t="str">
        <f>IF(COUNTIF(Scénarios!$A$2:$A$14,C7)=1,"OK","MANQUANT")</f>
        <v>OK</v>
      </c>
      <c r="L7" s="33" t="str">
        <f>IF(SUMPRODUCT(ISNUMBER(SEARCH(Exigences!$A$2:$A$20,D7))*1)=J7,"OK","INCONNU")</f>
        <v>OK</v>
      </c>
      <c r="M7" s="33" t="str">
        <f>IF(SUMPRODUCT(ISNUMBER(SEARCH(Exigences!$A$2:$A$20,D7))*ISNUMBER(SEARCH(Exigences!$A$2:$A$20,INDEX(Scénarios!$C$2:$C$14,MATCH(C7,Scénarios!$A$2:$A$14,0)))))=J7,"OK","À VÉRIFIER")</f>
        <v>OK</v>
      </c>
      <c r="N7" s="33">
        <f>COUNTIF(Sheet2!$C$2:$C$71,A7)</f>
        <v>1</v>
      </c>
    </row>
    <row r="8" spans="1:14" x14ac:dyDescent="0.25">
      <c r="A8" s="33" t="s">
        <v>104</v>
      </c>
      <c r="B8" s="34" t="s">
        <v>105</v>
      </c>
      <c r="C8" s="33" t="s">
        <v>93</v>
      </c>
      <c r="D8" s="34" t="s">
        <v>92</v>
      </c>
      <c r="E8" s="34" t="s">
        <v>477</v>
      </c>
      <c r="F8" s="33" t="s">
        <v>83</v>
      </c>
      <c r="G8" s="34" t="s">
        <v>54</v>
      </c>
      <c r="H8" s="34" t="s">
        <v>561</v>
      </c>
      <c r="I8" s="33" t="s">
        <v>49</v>
      </c>
      <c r="J8" s="33">
        <f t="shared" si="0"/>
        <v>1</v>
      </c>
      <c r="K8" s="33" t="str">
        <f>IF(COUNTIF(Scénarios!$A$2:$A$14,C8)=1,"OK","MANQUANT")</f>
        <v>OK</v>
      </c>
      <c r="L8" s="33" t="str">
        <f>IF(SUMPRODUCT(ISNUMBER(SEARCH(Exigences!$A$2:$A$20,D8))*1)=J8,"OK","INCONNU")</f>
        <v>OK</v>
      </c>
      <c r="M8" s="33" t="str">
        <f>IF(SUMPRODUCT(ISNUMBER(SEARCH(Exigences!$A$2:$A$20,D8))*ISNUMBER(SEARCH(Exigences!$A$2:$A$20,INDEX(Scénarios!$C$2:$C$14,MATCH(C8,Scénarios!$A$2:$A$14,0)))))=J8,"OK","À VÉRIFIER")</f>
        <v>OK</v>
      </c>
      <c r="N8" s="33">
        <f>COUNTIF(Sheet2!$C$2:$C$71,A8)</f>
        <v>1</v>
      </c>
    </row>
    <row r="9" spans="1:14" ht="26.25" customHeight="1" x14ac:dyDescent="0.25">
      <c r="A9" s="33" t="s">
        <v>111</v>
      </c>
      <c r="B9" s="34" t="s">
        <v>112</v>
      </c>
      <c r="C9" s="33" t="s">
        <v>119</v>
      </c>
      <c r="D9" s="34" t="s">
        <v>118</v>
      </c>
      <c r="E9" s="34" t="s">
        <v>477</v>
      </c>
      <c r="F9" s="33" t="s">
        <v>53</v>
      </c>
      <c r="G9" s="34" t="s">
        <v>121</v>
      </c>
      <c r="H9" s="34" t="s">
        <v>558</v>
      </c>
      <c r="I9" s="33" t="s">
        <v>49</v>
      </c>
      <c r="J9" s="33">
        <f t="shared" si="0"/>
        <v>1</v>
      </c>
      <c r="K9" s="33" t="str">
        <f>IF(COUNTIF(Scénarios!$A$2:$A$14,C9)=1,"OK","MANQUANT")</f>
        <v>OK</v>
      </c>
      <c r="L9" s="33" t="str">
        <f>IF(SUMPRODUCT(ISNUMBER(SEARCH(Exigences!$A$2:$A$20,D9))*1)=J9,"OK","INCONNU")</f>
        <v>OK</v>
      </c>
      <c r="M9" s="33" t="str">
        <f>IF(SUMPRODUCT(ISNUMBER(SEARCH(Exigences!$A$2:$A$20,D9))*ISNUMBER(SEARCH(Exigences!$A$2:$A$20,INDEX(Scénarios!$C$2:$C$14,MATCH(C9,Scénarios!$A$2:$A$14,0)))))=J9,"OK","À VÉRIFIER")</f>
        <v>OK</v>
      </c>
      <c r="N9" s="33">
        <f>COUNTIF(Sheet2!$C$2:$C$71,A9)</f>
        <v>1</v>
      </c>
    </row>
    <row r="10" spans="1:14" ht="26.25" customHeight="1" x14ac:dyDescent="0.25">
      <c r="A10" s="33" t="s">
        <v>125</v>
      </c>
      <c r="B10" s="34" t="s">
        <v>126</v>
      </c>
      <c r="C10" s="33" t="s">
        <v>119</v>
      </c>
      <c r="D10" s="34" t="s">
        <v>131</v>
      </c>
      <c r="E10" s="34" t="s">
        <v>477</v>
      </c>
      <c r="F10" s="33" t="s">
        <v>53</v>
      </c>
      <c r="G10" s="34" t="s">
        <v>121</v>
      </c>
      <c r="H10" s="34" t="s">
        <v>561</v>
      </c>
      <c r="I10" s="33" t="s">
        <v>49</v>
      </c>
      <c r="J10" s="33">
        <f t="shared" si="0"/>
        <v>1</v>
      </c>
      <c r="K10" s="33" t="str">
        <f>IF(COUNTIF(Scénarios!$A$2:$A$14,C10)=1,"OK","MANQUANT")</f>
        <v>OK</v>
      </c>
      <c r="L10" s="33" t="str">
        <f>IF(SUMPRODUCT(ISNUMBER(SEARCH(Exigences!$A$2:$A$20,D10))*1)=J10,"OK","INCONNU")</f>
        <v>OK</v>
      </c>
      <c r="M10" s="33" t="str">
        <f>IF(SUMPRODUCT(ISNUMBER(SEARCH(Exigences!$A$2:$A$20,D10))*ISNUMBER(SEARCH(Exigences!$A$2:$A$20,INDEX(Scénarios!$C$2:$C$14,MATCH(C10,Scénarios!$A$2:$A$14,0)))))=J10,"OK","À VÉRIFIER")</f>
        <v>OK</v>
      </c>
      <c r="N10" s="33">
        <f>COUNTIF(Sheet2!$C$2:$C$71,A10)</f>
        <v>1</v>
      </c>
    </row>
    <row r="11" spans="1:14" x14ac:dyDescent="0.25">
      <c r="A11" s="33" t="s">
        <v>139</v>
      </c>
      <c r="B11" s="34" t="s">
        <v>140</v>
      </c>
      <c r="C11" s="33" t="s">
        <v>119</v>
      </c>
      <c r="D11" s="34" t="s">
        <v>131</v>
      </c>
      <c r="E11" s="34" t="s">
        <v>477</v>
      </c>
      <c r="F11" s="33" t="s">
        <v>53</v>
      </c>
      <c r="G11" s="34" t="s">
        <v>121</v>
      </c>
      <c r="H11" s="34" t="s">
        <v>561</v>
      </c>
      <c r="I11" s="33" t="s">
        <v>49</v>
      </c>
      <c r="J11" s="33">
        <f t="shared" si="0"/>
        <v>1</v>
      </c>
      <c r="K11" s="33" t="str">
        <f>IF(COUNTIF(Scénarios!$A$2:$A$14,C11)=1,"OK","MANQUANT")</f>
        <v>OK</v>
      </c>
      <c r="L11" s="33" t="str">
        <f>IF(SUMPRODUCT(ISNUMBER(SEARCH(Exigences!$A$2:$A$20,D11))*1)=J11,"OK","INCONNU")</f>
        <v>OK</v>
      </c>
      <c r="M11" s="33" t="str">
        <f>IF(SUMPRODUCT(ISNUMBER(SEARCH(Exigences!$A$2:$A$20,D11))*ISNUMBER(SEARCH(Exigences!$A$2:$A$20,INDEX(Scénarios!$C$2:$C$14,MATCH(C11,Scénarios!$A$2:$A$14,0)))))=J11,"OK","À VÉRIFIER")</f>
        <v>OK</v>
      </c>
      <c r="N11" s="33">
        <f>COUNTIF(Sheet2!$C$2:$C$71,A11)</f>
        <v>1</v>
      </c>
    </row>
    <row r="12" spans="1:14" x14ac:dyDescent="0.25">
      <c r="A12" s="33" t="s">
        <v>147</v>
      </c>
      <c r="B12" s="34" t="s">
        <v>148</v>
      </c>
      <c r="C12" s="33" t="s">
        <v>155</v>
      </c>
      <c r="D12" s="34" t="s">
        <v>154</v>
      </c>
      <c r="E12" s="34" t="s">
        <v>477</v>
      </c>
      <c r="F12" s="33" t="s">
        <v>53</v>
      </c>
      <c r="G12" s="34" t="s">
        <v>54</v>
      </c>
      <c r="H12" s="34" t="s">
        <v>561</v>
      </c>
      <c r="I12" s="33" t="s">
        <v>49</v>
      </c>
      <c r="J12" s="33">
        <f t="shared" si="0"/>
        <v>1</v>
      </c>
      <c r="K12" s="33" t="str">
        <f>IF(COUNTIF(Scénarios!$A$2:$A$14,C12)=1,"OK","MANQUANT")</f>
        <v>OK</v>
      </c>
      <c r="L12" s="33" t="str">
        <f>IF(SUMPRODUCT(ISNUMBER(SEARCH(Exigences!$A$2:$A$20,D12))*1)=J12,"OK","INCONNU")</f>
        <v>OK</v>
      </c>
      <c r="M12" s="33" t="str">
        <f>IF(SUMPRODUCT(ISNUMBER(SEARCH(Exigences!$A$2:$A$20,D12))*ISNUMBER(SEARCH(Exigences!$A$2:$A$20,INDEX(Scénarios!$C$2:$C$14,MATCH(C12,Scénarios!$A$2:$A$14,0)))))=J12,"OK","À VÉRIFIER")</f>
        <v>OK</v>
      </c>
      <c r="N12" s="33">
        <f>COUNTIF(Sheet2!$C$2:$C$71,A12)</f>
        <v>1</v>
      </c>
    </row>
    <row r="13" spans="1:14" x14ac:dyDescent="0.25">
      <c r="A13" s="33" t="s">
        <v>159</v>
      </c>
      <c r="B13" s="34" t="s">
        <v>160</v>
      </c>
      <c r="C13" s="33" t="s">
        <v>155</v>
      </c>
      <c r="D13" s="34" t="s">
        <v>167</v>
      </c>
      <c r="E13" s="34" t="s">
        <v>477</v>
      </c>
      <c r="F13" s="33" t="s">
        <v>53</v>
      </c>
      <c r="G13" s="34" t="s">
        <v>121</v>
      </c>
      <c r="H13" s="34" t="s">
        <v>558</v>
      </c>
      <c r="I13" s="33" t="s">
        <v>166</v>
      </c>
      <c r="J13" s="33">
        <f t="shared" si="0"/>
        <v>2</v>
      </c>
      <c r="K13" s="33" t="str">
        <f>IF(COUNTIF(Scénarios!$A$2:$A$14,C13)=1,"OK","MANQUANT")</f>
        <v>OK</v>
      </c>
      <c r="L13" s="33" t="str">
        <f>IF(SUMPRODUCT(ISNUMBER(SEARCH(Exigences!$A$2:$A$20,D13))*1)=J13,"OK","INCONNU")</f>
        <v>OK</v>
      </c>
      <c r="M13" s="33" t="str">
        <f>IF(SUMPRODUCT(ISNUMBER(SEARCH(Exigences!$A$2:$A$20,D13))*ISNUMBER(SEARCH(Exigences!$A$2:$A$20,INDEX(Scénarios!$C$2:$C$14,MATCH(C13,Scénarios!$A$2:$A$14,0)))))=J13,"OK","À VÉRIFIER")</f>
        <v>OK</v>
      </c>
      <c r="N13" s="33">
        <f>COUNTIF(Sheet2!$C$2:$C$71,A13)</f>
        <v>1</v>
      </c>
    </row>
    <row r="14" spans="1:14" ht="26.25" customHeight="1" x14ac:dyDescent="0.25">
      <c r="A14" s="33" t="s">
        <v>175</v>
      </c>
      <c r="B14" s="34" t="s">
        <v>176</v>
      </c>
      <c r="C14" s="33" t="s">
        <v>182</v>
      </c>
      <c r="D14" s="34" t="s">
        <v>181</v>
      </c>
      <c r="E14" s="34" t="s">
        <v>477</v>
      </c>
      <c r="F14" s="33" t="s">
        <v>184</v>
      </c>
      <c r="G14" s="34" t="s">
        <v>185</v>
      </c>
      <c r="H14" s="34" t="s">
        <v>558</v>
      </c>
      <c r="I14" s="33" t="s">
        <v>49</v>
      </c>
      <c r="J14" s="33">
        <f t="shared" si="0"/>
        <v>1</v>
      </c>
      <c r="K14" s="33" t="str">
        <f>IF(COUNTIF(Scénarios!$A$2:$A$14,C14)=1,"OK","MANQUANT")</f>
        <v>OK</v>
      </c>
      <c r="L14" s="33" t="str">
        <f>IF(SUMPRODUCT(ISNUMBER(SEARCH(Exigences!$A$2:$A$20,D14))*1)=J14,"OK","INCONNU")</f>
        <v>OK</v>
      </c>
      <c r="M14" s="33" t="str">
        <f>IF(SUMPRODUCT(ISNUMBER(SEARCH(Exigences!$A$2:$A$20,D14))*ISNUMBER(SEARCH(Exigences!$A$2:$A$20,INDEX(Scénarios!$C$2:$C$14,MATCH(C14,Scénarios!$A$2:$A$14,0)))))=J14,"OK","À VÉRIFIER")</f>
        <v>OK</v>
      </c>
      <c r="N14" s="33">
        <f>COUNTIF(Sheet2!$C$2:$C$71,A14)</f>
        <v>1</v>
      </c>
    </row>
    <row r="15" spans="1:14" x14ac:dyDescent="0.25">
      <c r="A15" s="33" t="s">
        <v>187</v>
      </c>
      <c r="B15" s="34" t="s">
        <v>188</v>
      </c>
      <c r="C15" s="33" t="s">
        <v>194</v>
      </c>
      <c r="D15" s="34" t="s">
        <v>193</v>
      </c>
      <c r="E15" s="34" t="s">
        <v>502</v>
      </c>
      <c r="F15" s="33" t="s">
        <v>184</v>
      </c>
      <c r="G15" s="34" t="s">
        <v>196</v>
      </c>
      <c r="H15" s="34" t="s">
        <v>558</v>
      </c>
      <c r="I15" s="33" t="s">
        <v>49</v>
      </c>
      <c r="J15" s="33">
        <f t="shared" si="0"/>
        <v>1</v>
      </c>
      <c r="K15" s="33" t="str">
        <f>IF(COUNTIF(Scénarios!$A$2:$A$14,C15)=1,"OK","MANQUANT")</f>
        <v>OK</v>
      </c>
      <c r="L15" s="33" t="str">
        <f>IF(SUMPRODUCT(ISNUMBER(SEARCH(Exigences!$A$2:$A$20,D15))*1)=J15,"OK","INCONNU")</f>
        <v>OK</v>
      </c>
      <c r="M15" s="33" t="str">
        <f>IF(SUMPRODUCT(ISNUMBER(SEARCH(Exigences!$A$2:$A$20,D15))*ISNUMBER(SEARCH(Exigences!$A$2:$A$20,INDEX(Scénarios!$C$2:$C$14,MATCH(C15,Scénarios!$A$2:$A$14,0)))))=J15,"OK","À VÉRIFIER")</f>
        <v>OK</v>
      </c>
      <c r="N15" s="33">
        <f>COUNTIF(Sheet2!$C$2:$C$71,A15)</f>
        <v>1</v>
      </c>
    </row>
    <row r="16" spans="1:14" ht="26.25" customHeight="1" x14ac:dyDescent="0.25">
      <c r="A16" s="33" t="s">
        <v>201</v>
      </c>
      <c r="B16" s="34" t="s">
        <v>202</v>
      </c>
      <c r="C16" s="33" t="s">
        <v>209</v>
      </c>
      <c r="D16" s="34" t="s">
        <v>208</v>
      </c>
      <c r="E16" s="34" t="s">
        <v>505</v>
      </c>
      <c r="F16" s="33" t="s">
        <v>53</v>
      </c>
      <c r="G16" s="34" t="s">
        <v>185</v>
      </c>
      <c r="H16" s="34" t="s">
        <v>558</v>
      </c>
      <c r="I16" s="33" t="s">
        <v>49</v>
      </c>
      <c r="J16" s="33">
        <f t="shared" si="0"/>
        <v>1</v>
      </c>
      <c r="K16" s="33" t="str">
        <f>IF(COUNTIF(Scénarios!$A$2:$A$14,C16)=1,"OK","MANQUANT")</f>
        <v>OK</v>
      </c>
      <c r="L16" s="33" t="str">
        <f>IF(SUMPRODUCT(ISNUMBER(SEARCH(Exigences!$A$2:$A$20,D16))*1)=J16,"OK","INCONNU")</f>
        <v>OK</v>
      </c>
      <c r="M16" s="33" t="str">
        <f>IF(SUMPRODUCT(ISNUMBER(SEARCH(Exigences!$A$2:$A$20,D16))*ISNUMBER(SEARCH(Exigences!$A$2:$A$20,INDEX(Scénarios!$C$2:$C$14,MATCH(C16,Scénarios!$A$2:$A$14,0)))))=J16,"OK","À VÉRIFIER")</f>
        <v>OK</v>
      </c>
      <c r="N16" s="33">
        <f>COUNTIF(Sheet2!$C$2:$C$71,A16)</f>
        <v>1</v>
      </c>
    </row>
    <row r="17" spans="1:14" ht="26.25" customHeight="1" x14ac:dyDescent="0.25">
      <c r="A17" s="33" t="s">
        <v>229</v>
      </c>
      <c r="B17" s="34" t="s">
        <v>230</v>
      </c>
      <c r="C17" s="33" t="s">
        <v>209</v>
      </c>
      <c r="D17" s="34" t="s">
        <v>208</v>
      </c>
      <c r="E17" s="34" t="s">
        <v>505</v>
      </c>
      <c r="F17" s="33" t="s">
        <v>53</v>
      </c>
      <c r="G17" s="34" t="s">
        <v>185</v>
      </c>
      <c r="H17" s="34" t="s">
        <v>561</v>
      </c>
      <c r="I17" s="33" t="s">
        <v>49</v>
      </c>
      <c r="J17" s="33">
        <f t="shared" si="0"/>
        <v>1</v>
      </c>
      <c r="K17" s="33" t="str">
        <f>IF(COUNTIF(Scénarios!$A$2:$A$14,C17)=1,"OK","MANQUANT")</f>
        <v>OK</v>
      </c>
      <c r="L17" s="33" t="str">
        <f>IF(SUMPRODUCT(ISNUMBER(SEARCH(Exigences!$A$2:$A$20,D17))*1)=J17,"OK","INCONNU")</f>
        <v>OK</v>
      </c>
      <c r="M17" s="33" t="str">
        <f>IF(SUMPRODUCT(ISNUMBER(SEARCH(Exigences!$A$2:$A$20,D17))*ISNUMBER(SEARCH(Exigences!$A$2:$A$20,INDEX(Scénarios!$C$2:$C$14,MATCH(C17,Scénarios!$A$2:$A$14,0)))))=J17,"OK","À VÉRIFIER")</f>
        <v>OK</v>
      </c>
      <c r="N17" s="33">
        <f>COUNTIF(Sheet2!$C$2:$C$71,A17)</f>
        <v>1</v>
      </c>
    </row>
    <row r="18" spans="1:14" ht="26.25" customHeight="1" x14ac:dyDescent="0.25">
      <c r="A18" s="33" t="s">
        <v>237</v>
      </c>
      <c r="B18" s="34" t="s">
        <v>238</v>
      </c>
      <c r="C18" s="33" t="s">
        <v>209</v>
      </c>
      <c r="D18" s="34" t="s">
        <v>243</v>
      </c>
      <c r="E18" s="34" t="s">
        <v>505</v>
      </c>
      <c r="F18" s="33" t="s">
        <v>83</v>
      </c>
      <c r="G18" s="34" t="s">
        <v>185</v>
      </c>
      <c r="H18" s="34" t="s">
        <v>561</v>
      </c>
      <c r="I18" s="33" t="s">
        <v>49</v>
      </c>
      <c r="J18" s="33">
        <f t="shared" si="0"/>
        <v>1</v>
      </c>
      <c r="K18" s="33" t="str">
        <f>IF(COUNTIF(Scénarios!$A$2:$A$14,C18)=1,"OK","MANQUANT")</f>
        <v>OK</v>
      </c>
      <c r="L18" s="33" t="str">
        <f>IF(SUMPRODUCT(ISNUMBER(SEARCH(Exigences!$A$2:$A$20,D18))*1)=J18,"OK","INCONNU")</f>
        <v>OK</v>
      </c>
      <c r="M18" s="33" t="str">
        <f>IF(SUMPRODUCT(ISNUMBER(SEARCH(Exigences!$A$2:$A$20,D18))*ISNUMBER(SEARCH(Exigences!$A$2:$A$20,INDEX(Scénarios!$C$2:$C$14,MATCH(C18,Scénarios!$A$2:$A$14,0)))))=J18,"OK","À VÉRIFIER")</f>
        <v>OK</v>
      </c>
      <c r="N18" s="33">
        <f>COUNTIF(Sheet2!$C$2:$C$71,A18)</f>
        <v>1</v>
      </c>
    </row>
    <row r="19" spans="1:14" ht="26.25" customHeight="1" x14ac:dyDescent="0.25">
      <c r="A19" s="33" t="s">
        <v>247</v>
      </c>
      <c r="B19" s="34" t="s">
        <v>248</v>
      </c>
      <c r="C19" s="33" t="s">
        <v>254</v>
      </c>
      <c r="D19" s="34" t="s">
        <v>253</v>
      </c>
      <c r="E19" s="34" t="s">
        <v>505</v>
      </c>
      <c r="F19" s="33" t="s">
        <v>53</v>
      </c>
      <c r="G19" s="34" t="s">
        <v>256</v>
      </c>
      <c r="H19" s="34" t="s">
        <v>608</v>
      </c>
      <c r="I19" s="33" t="s">
        <v>49</v>
      </c>
      <c r="J19" s="33">
        <f t="shared" si="0"/>
        <v>1</v>
      </c>
      <c r="K19" s="33" t="str">
        <f>IF(COUNTIF(Scénarios!$A$2:$A$14,C19)=1,"OK","MANQUANT")</f>
        <v>OK</v>
      </c>
      <c r="L19" s="33" t="str">
        <f>IF(SUMPRODUCT(ISNUMBER(SEARCH(Exigences!$A$2:$A$20,D19))*1)=J19,"OK","INCONNU")</f>
        <v>OK</v>
      </c>
      <c r="M19" s="33" t="str">
        <f>IF(SUMPRODUCT(ISNUMBER(SEARCH(Exigences!$A$2:$A$20,D19))*ISNUMBER(SEARCH(Exigences!$A$2:$A$20,INDEX(Scénarios!$C$2:$C$14,MATCH(C19,Scénarios!$A$2:$A$14,0)))))=J19,"OK","À VÉRIFIER")</f>
        <v>OK</v>
      </c>
      <c r="N19" s="33">
        <f>COUNTIF(Sheet2!$C$2:$C$71,A19)</f>
        <v>1</v>
      </c>
    </row>
    <row r="20" spans="1:14" ht="26.25" customHeight="1" x14ac:dyDescent="0.25">
      <c r="A20" s="33" t="s">
        <v>257</v>
      </c>
      <c r="B20" s="34" t="s">
        <v>258</v>
      </c>
      <c r="C20" s="33" t="s">
        <v>254</v>
      </c>
      <c r="D20" s="34" t="s">
        <v>253</v>
      </c>
      <c r="E20" s="34" t="s">
        <v>505</v>
      </c>
      <c r="F20" s="33" t="s">
        <v>53</v>
      </c>
      <c r="G20" s="34" t="s">
        <v>256</v>
      </c>
      <c r="H20" s="34" t="s">
        <v>608</v>
      </c>
      <c r="I20" s="33" t="s">
        <v>166</v>
      </c>
      <c r="J20" s="33">
        <f t="shared" si="0"/>
        <v>1</v>
      </c>
      <c r="K20" s="33" t="str">
        <f>IF(COUNTIF(Scénarios!$A$2:$A$14,C20)=1,"OK","MANQUANT")</f>
        <v>OK</v>
      </c>
      <c r="L20" s="33" t="str">
        <f>IF(SUMPRODUCT(ISNUMBER(SEARCH(Exigences!$A$2:$A$20,D20))*1)=J20,"OK","INCONNU")</f>
        <v>OK</v>
      </c>
      <c r="M20" s="33" t="str">
        <f>IF(SUMPRODUCT(ISNUMBER(SEARCH(Exigences!$A$2:$A$20,D20))*ISNUMBER(SEARCH(Exigences!$A$2:$A$20,INDEX(Scénarios!$C$2:$C$14,MATCH(C20,Scénarios!$A$2:$A$14,0)))))=J20,"OK","À VÉRIFIER")</f>
        <v>OK</v>
      </c>
      <c r="N20" s="33">
        <f>COUNTIF(Sheet2!$C$2:$C$71,A20)</f>
        <v>1</v>
      </c>
    </row>
    <row r="21" spans="1:14" ht="26.25" customHeight="1" x14ac:dyDescent="0.25">
      <c r="A21" s="33" t="s">
        <v>270</v>
      </c>
      <c r="B21" s="34" t="s">
        <v>271</v>
      </c>
      <c r="C21" s="33" t="s">
        <v>254</v>
      </c>
      <c r="D21" s="34" t="s">
        <v>253</v>
      </c>
      <c r="E21" s="34" t="s">
        <v>505</v>
      </c>
      <c r="F21" s="33" t="s">
        <v>53</v>
      </c>
      <c r="G21" s="34" t="s">
        <v>256</v>
      </c>
      <c r="H21" s="34" t="s">
        <v>608</v>
      </c>
      <c r="I21" s="33" t="s">
        <v>49</v>
      </c>
      <c r="J21" s="33">
        <f t="shared" si="0"/>
        <v>1</v>
      </c>
      <c r="K21" s="33" t="str">
        <f>IF(COUNTIF(Scénarios!$A$2:$A$14,C21)=1,"OK","MANQUANT")</f>
        <v>OK</v>
      </c>
      <c r="L21" s="33" t="str">
        <f>IF(SUMPRODUCT(ISNUMBER(SEARCH(Exigences!$A$2:$A$20,D21))*1)=J21,"OK","INCONNU")</f>
        <v>OK</v>
      </c>
      <c r="M21" s="33" t="str">
        <f>IF(SUMPRODUCT(ISNUMBER(SEARCH(Exigences!$A$2:$A$20,D21))*ISNUMBER(SEARCH(Exigences!$A$2:$A$20,INDEX(Scénarios!$C$2:$C$14,MATCH(C21,Scénarios!$A$2:$A$14,0)))))=J21,"OK","À VÉRIFIER")</f>
        <v>OK</v>
      </c>
      <c r="N21" s="33">
        <f>COUNTIF(Sheet2!$C$2:$C$71,A21)</f>
        <v>1</v>
      </c>
    </row>
    <row r="22" spans="1:14" ht="26.25" customHeight="1" x14ac:dyDescent="0.25">
      <c r="A22" s="33" t="s">
        <v>282</v>
      </c>
      <c r="B22" s="34" t="s">
        <v>283</v>
      </c>
      <c r="C22" s="33" t="s">
        <v>254</v>
      </c>
      <c r="D22" s="34" t="s">
        <v>253</v>
      </c>
      <c r="E22" s="34" t="s">
        <v>505</v>
      </c>
      <c r="F22" s="33" t="s">
        <v>53</v>
      </c>
      <c r="G22" s="34" t="s">
        <v>256</v>
      </c>
      <c r="H22" s="34" t="s">
        <v>608</v>
      </c>
      <c r="I22" s="33" t="s">
        <v>49</v>
      </c>
      <c r="J22" s="33">
        <f t="shared" si="0"/>
        <v>1</v>
      </c>
      <c r="K22" s="33" t="str">
        <f>IF(COUNTIF(Scénarios!$A$2:$A$14,C22)=1,"OK","MANQUANT")</f>
        <v>OK</v>
      </c>
      <c r="L22" s="33" t="str">
        <f>IF(SUMPRODUCT(ISNUMBER(SEARCH(Exigences!$A$2:$A$20,D22))*1)=J22,"OK","INCONNU")</f>
        <v>OK</v>
      </c>
      <c r="M22" s="33" t="str">
        <f>IF(SUMPRODUCT(ISNUMBER(SEARCH(Exigences!$A$2:$A$20,D22))*ISNUMBER(SEARCH(Exigences!$A$2:$A$20,INDEX(Scénarios!$C$2:$C$14,MATCH(C22,Scénarios!$A$2:$A$14,0)))))=J22,"OK","À VÉRIFIER")</f>
        <v>OK</v>
      </c>
      <c r="N22" s="33">
        <f>COUNTIF(Sheet2!$C$2:$C$71,A22)</f>
        <v>1</v>
      </c>
    </row>
    <row r="23" spans="1:14" ht="26.25" customHeight="1" x14ac:dyDescent="0.25">
      <c r="A23" s="33" t="s">
        <v>291</v>
      </c>
      <c r="B23" s="34" t="s">
        <v>292</v>
      </c>
      <c r="C23" s="33" t="s">
        <v>254</v>
      </c>
      <c r="D23" s="34" t="s">
        <v>297</v>
      </c>
      <c r="E23" s="34" t="s">
        <v>505</v>
      </c>
      <c r="F23" s="33" t="s">
        <v>53</v>
      </c>
      <c r="G23" s="34" t="s">
        <v>185</v>
      </c>
      <c r="H23" s="34" t="s">
        <v>561</v>
      </c>
      <c r="I23" s="33" t="s">
        <v>49</v>
      </c>
      <c r="J23" s="33">
        <f t="shared" si="0"/>
        <v>1</v>
      </c>
      <c r="K23" s="33" t="str">
        <f>IF(COUNTIF(Scénarios!$A$2:$A$14,C23)=1,"OK","MANQUANT")</f>
        <v>OK</v>
      </c>
      <c r="L23" s="33" t="str">
        <f>IF(SUMPRODUCT(ISNUMBER(SEARCH(Exigences!$A$2:$A$20,D23))*1)=J23,"OK","INCONNU")</f>
        <v>OK</v>
      </c>
      <c r="M23" s="33" t="str">
        <f>IF(SUMPRODUCT(ISNUMBER(SEARCH(Exigences!$A$2:$A$20,D23))*ISNUMBER(SEARCH(Exigences!$A$2:$A$20,INDEX(Scénarios!$C$2:$C$14,MATCH(C23,Scénarios!$A$2:$A$14,0)))))=J23,"OK","À VÉRIFIER")</f>
        <v>OK</v>
      </c>
      <c r="N23" s="33">
        <f>COUNTIF(Sheet2!$C$2:$C$71,A23)</f>
        <v>1</v>
      </c>
    </row>
    <row r="24" spans="1:14" ht="26.25" customHeight="1" x14ac:dyDescent="0.25">
      <c r="A24" s="33" t="s">
        <v>301</v>
      </c>
      <c r="B24" s="34" t="s">
        <v>302</v>
      </c>
      <c r="C24" s="33" t="s">
        <v>308</v>
      </c>
      <c r="D24" s="34" t="s">
        <v>307</v>
      </c>
      <c r="E24" s="34" t="s">
        <v>505</v>
      </c>
      <c r="F24" s="33" t="s">
        <v>53</v>
      </c>
      <c r="G24" s="34" t="s">
        <v>185</v>
      </c>
      <c r="H24" s="34" t="s">
        <v>561</v>
      </c>
      <c r="I24" s="33" t="s">
        <v>49</v>
      </c>
      <c r="J24" s="33">
        <f t="shared" si="0"/>
        <v>1</v>
      </c>
      <c r="K24" s="33" t="str">
        <f>IF(COUNTIF(Scénarios!$A$2:$A$14,C24)=1,"OK","MANQUANT")</f>
        <v>OK</v>
      </c>
      <c r="L24" s="33" t="str">
        <f>IF(SUMPRODUCT(ISNUMBER(SEARCH(Exigences!$A$2:$A$20,D24))*1)=J24,"OK","INCONNU")</f>
        <v>OK</v>
      </c>
      <c r="M24" s="33" t="str">
        <f>IF(SUMPRODUCT(ISNUMBER(SEARCH(Exigences!$A$2:$A$20,D24))*ISNUMBER(SEARCH(Exigences!$A$2:$A$20,INDEX(Scénarios!$C$2:$C$14,MATCH(C24,Scénarios!$A$2:$A$14,0)))))=J24,"OK","À VÉRIFIER")</f>
        <v>OK</v>
      </c>
      <c r="N24" s="33">
        <f>COUNTIF(Sheet2!$C$2:$C$71,A24)</f>
        <v>1</v>
      </c>
    </row>
    <row r="25" spans="1:14" ht="26.25" customHeight="1" x14ac:dyDescent="0.25">
      <c r="A25" s="33" t="s">
        <v>313</v>
      </c>
      <c r="B25" s="34" t="s">
        <v>314</v>
      </c>
      <c r="C25" s="33" t="s">
        <v>308</v>
      </c>
      <c r="D25" s="34" t="s">
        <v>319</v>
      </c>
      <c r="E25" s="34" t="s">
        <v>505</v>
      </c>
      <c r="F25" s="33" t="s">
        <v>53</v>
      </c>
      <c r="G25" s="34" t="s">
        <v>256</v>
      </c>
      <c r="H25" s="34" t="s">
        <v>608</v>
      </c>
      <c r="I25" s="33" t="s">
        <v>49</v>
      </c>
      <c r="J25" s="33">
        <f t="shared" si="0"/>
        <v>1</v>
      </c>
      <c r="K25" s="33" t="str">
        <f>IF(COUNTIF(Scénarios!$A$2:$A$14,C25)=1,"OK","MANQUANT")</f>
        <v>OK</v>
      </c>
      <c r="L25" s="33" t="str">
        <f>IF(SUMPRODUCT(ISNUMBER(SEARCH(Exigences!$A$2:$A$20,D25))*1)=J25,"OK","INCONNU")</f>
        <v>OK</v>
      </c>
      <c r="M25" s="33" t="str">
        <f>IF(SUMPRODUCT(ISNUMBER(SEARCH(Exigences!$A$2:$A$20,D25))*ISNUMBER(SEARCH(Exigences!$A$2:$A$20,INDEX(Scénarios!$C$2:$C$14,MATCH(C25,Scénarios!$A$2:$A$14,0)))))=J25,"OK","À VÉRIFIER")</f>
        <v>OK</v>
      </c>
      <c r="N25" s="33">
        <f>COUNTIF(Sheet2!$C$2:$C$71,A25)</f>
        <v>1</v>
      </c>
    </row>
    <row r="26" spans="1:14" ht="26.25" customHeight="1" x14ac:dyDescent="0.25">
      <c r="A26" s="33" t="s">
        <v>321</v>
      </c>
      <c r="B26" s="34" t="s">
        <v>322</v>
      </c>
      <c r="C26" s="33" t="s">
        <v>308</v>
      </c>
      <c r="D26" s="34" t="s">
        <v>319</v>
      </c>
      <c r="E26" s="34" t="s">
        <v>505</v>
      </c>
      <c r="F26" s="33" t="s">
        <v>53</v>
      </c>
      <c r="G26" s="34" t="s">
        <v>256</v>
      </c>
      <c r="H26" s="34" t="s">
        <v>608</v>
      </c>
      <c r="I26" s="33" t="s">
        <v>49</v>
      </c>
      <c r="J26" s="33">
        <f t="shared" si="0"/>
        <v>1</v>
      </c>
      <c r="K26" s="33" t="str">
        <f>IF(COUNTIF(Scénarios!$A$2:$A$14,C26)=1,"OK","MANQUANT")</f>
        <v>OK</v>
      </c>
      <c r="L26" s="33" t="str">
        <f>IF(SUMPRODUCT(ISNUMBER(SEARCH(Exigences!$A$2:$A$20,D26))*1)=J26,"OK","INCONNU")</f>
        <v>OK</v>
      </c>
      <c r="M26" s="33" t="str">
        <f>IF(SUMPRODUCT(ISNUMBER(SEARCH(Exigences!$A$2:$A$20,D26))*ISNUMBER(SEARCH(Exigences!$A$2:$A$20,INDEX(Scénarios!$C$2:$C$14,MATCH(C26,Scénarios!$A$2:$A$14,0)))))=J26,"OK","À VÉRIFIER")</f>
        <v>OK</v>
      </c>
      <c r="N26" s="33">
        <f>COUNTIF(Sheet2!$C$2:$C$71,A26)</f>
        <v>1</v>
      </c>
    </row>
    <row r="27" spans="1:14" ht="26.25" customHeight="1" x14ac:dyDescent="0.25">
      <c r="A27" s="33" t="s">
        <v>328</v>
      </c>
      <c r="B27" s="34" t="s">
        <v>329</v>
      </c>
      <c r="C27" s="33" t="s">
        <v>308</v>
      </c>
      <c r="D27" s="34" t="s">
        <v>319</v>
      </c>
      <c r="E27" s="34" t="s">
        <v>505</v>
      </c>
      <c r="F27" s="33" t="s">
        <v>83</v>
      </c>
      <c r="G27" s="34" t="s">
        <v>185</v>
      </c>
      <c r="H27" s="34" t="s">
        <v>561</v>
      </c>
      <c r="I27" s="33" t="s">
        <v>49</v>
      </c>
      <c r="J27" s="33">
        <f t="shared" si="0"/>
        <v>1</v>
      </c>
      <c r="K27" s="33" t="str">
        <f>IF(COUNTIF(Scénarios!$A$2:$A$14,C27)=1,"OK","MANQUANT")</f>
        <v>OK</v>
      </c>
      <c r="L27" s="33" t="str">
        <f>IF(SUMPRODUCT(ISNUMBER(SEARCH(Exigences!$A$2:$A$20,D27))*1)=J27,"OK","INCONNU")</f>
        <v>OK</v>
      </c>
      <c r="M27" s="33" t="str">
        <f>IF(SUMPRODUCT(ISNUMBER(SEARCH(Exigences!$A$2:$A$20,D27))*ISNUMBER(SEARCH(Exigences!$A$2:$A$20,INDEX(Scénarios!$C$2:$C$14,MATCH(C27,Scénarios!$A$2:$A$14,0)))))=J27,"OK","À VÉRIFIER")</f>
        <v>OK</v>
      </c>
      <c r="N27" s="33">
        <f>COUNTIF(Sheet2!$C$2:$C$71,A27)</f>
        <v>1</v>
      </c>
    </row>
    <row r="28" spans="1:14" ht="26.25" customHeight="1" x14ac:dyDescent="0.25">
      <c r="A28" s="33" t="s">
        <v>335</v>
      </c>
      <c r="B28" s="34" t="s">
        <v>336</v>
      </c>
      <c r="C28" s="33" t="s">
        <v>308</v>
      </c>
      <c r="D28" s="34" t="s">
        <v>319</v>
      </c>
      <c r="E28" s="34" t="s">
        <v>505</v>
      </c>
      <c r="F28" s="33" t="s">
        <v>83</v>
      </c>
      <c r="G28" s="34" t="s">
        <v>185</v>
      </c>
      <c r="H28" s="34" t="s">
        <v>561</v>
      </c>
      <c r="I28" s="33" t="s">
        <v>49</v>
      </c>
      <c r="J28" s="33">
        <f t="shared" si="0"/>
        <v>1</v>
      </c>
      <c r="K28" s="33" t="str">
        <f>IF(COUNTIF(Scénarios!$A$2:$A$14,C28)=1,"OK","MANQUANT")</f>
        <v>OK</v>
      </c>
      <c r="L28" s="33" t="str">
        <f>IF(SUMPRODUCT(ISNUMBER(SEARCH(Exigences!$A$2:$A$20,D28))*1)=J28,"OK","INCONNU")</f>
        <v>OK</v>
      </c>
      <c r="M28" s="33" t="str">
        <f>IF(SUMPRODUCT(ISNUMBER(SEARCH(Exigences!$A$2:$A$20,D28))*ISNUMBER(SEARCH(Exigences!$A$2:$A$20,INDEX(Scénarios!$C$2:$C$14,MATCH(C28,Scénarios!$A$2:$A$14,0)))))=J28,"OK","À VÉRIFIER")</f>
        <v>OK</v>
      </c>
      <c r="N28" s="33">
        <f>COUNTIF(Sheet2!$C$2:$C$71,A28)</f>
        <v>1</v>
      </c>
    </row>
    <row r="29" spans="1:14" ht="26.25" customHeight="1" x14ac:dyDescent="0.25">
      <c r="A29" s="33" t="s">
        <v>342</v>
      </c>
      <c r="B29" s="34" t="s">
        <v>343</v>
      </c>
      <c r="C29" s="33" t="s">
        <v>350</v>
      </c>
      <c r="D29" s="34" t="s">
        <v>349</v>
      </c>
      <c r="E29" s="34" t="s">
        <v>505</v>
      </c>
      <c r="F29" s="33" t="s">
        <v>83</v>
      </c>
      <c r="G29" s="34" t="s">
        <v>185</v>
      </c>
      <c r="H29" s="34" t="s">
        <v>558</v>
      </c>
      <c r="I29" s="33" t="s">
        <v>49</v>
      </c>
      <c r="J29" s="33">
        <f t="shared" si="0"/>
        <v>1</v>
      </c>
      <c r="K29" s="33" t="str">
        <f>IF(COUNTIF(Scénarios!$A$2:$A$14,C29)=1,"OK","MANQUANT")</f>
        <v>OK</v>
      </c>
      <c r="L29" s="33" t="str">
        <f>IF(SUMPRODUCT(ISNUMBER(SEARCH(Exigences!$A$2:$A$20,D29))*1)=J29,"OK","INCONNU")</f>
        <v>OK</v>
      </c>
      <c r="M29" s="33" t="str">
        <f>IF(SUMPRODUCT(ISNUMBER(SEARCH(Exigences!$A$2:$A$20,D29))*ISNUMBER(SEARCH(Exigences!$A$2:$A$20,INDEX(Scénarios!$C$2:$C$14,MATCH(C29,Scénarios!$A$2:$A$14,0)))))=J29,"OK","À VÉRIFIER")</f>
        <v>OK</v>
      </c>
      <c r="N29" s="33">
        <f>COUNTIF(Sheet2!$C$2:$C$71,A29)</f>
        <v>1</v>
      </c>
    </row>
    <row r="30" spans="1:14" ht="26.25" customHeight="1" x14ac:dyDescent="0.25">
      <c r="A30" s="33" t="s">
        <v>352</v>
      </c>
      <c r="B30" s="34" t="s">
        <v>353</v>
      </c>
      <c r="C30" s="33" t="s">
        <v>350</v>
      </c>
      <c r="D30" s="34" t="s">
        <v>349</v>
      </c>
      <c r="E30" s="34" t="s">
        <v>505</v>
      </c>
      <c r="F30" s="33" t="s">
        <v>83</v>
      </c>
      <c r="G30" s="34" t="s">
        <v>185</v>
      </c>
      <c r="H30" s="34" t="s">
        <v>561</v>
      </c>
      <c r="I30" s="33" t="s">
        <v>49</v>
      </c>
      <c r="J30" s="33">
        <f t="shared" si="0"/>
        <v>1</v>
      </c>
      <c r="K30" s="33" t="str">
        <f>IF(COUNTIF(Scénarios!$A$2:$A$14,C30)=1,"OK","MANQUANT")</f>
        <v>OK</v>
      </c>
      <c r="L30" s="33" t="str">
        <f>IF(SUMPRODUCT(ISNUMBER(SEARCH(Exigences!$A$2:$A$20,D30))*1)=J30,"OK","INCONNU")</f>
        <v>OK</v>
      </c>
      <c r="M30" s="33" t="str">
        <f>IF(SUMPRODUCT(ISNUMBER(SEARCH(Exigences!$A$2:$A$20,D30))*ISNUMBER(SEARCH(Exigences!$A$2:$A$20,INDEX(Scénarios!$C$2:$C$14,MATCH(C30,Scénarios!$A$2:$A$14,0)))))=J30,"OK","À VÉRIFIER")</f>
        <v>OK</v>
      </c>
      <c r="N30" s="33">
        <f>COUNTIF(Sheet2!$C$2:$C$71,A30)</f>
        <v>1</v>
      </c>
    </row>
    <row r="31" spans="1:14" ht="26.25" customHeight="1" x14ac:dyDescent="0.25">
      <c r="A31" s="33" t="s">
        <v>359</v>
      </c>
      <c r="B31" s="34" t="s">
        <v>360</v>
      </c>
      <c r="C31" s="33" t="s">
        <v>350</v>
      </c>
      <c r="D31" s="34" t="s">
        <v>349</v>
      </c>
      <c r="E31" s="34" t="s">
        <v>505</v>
      </c>
      <c r="F31" s="33" t="s">
        <v>184</v>
      </c>
      <c r="G31" s="34" t="s">
        <v>185</v>
      </c>
      <c r="H31" s="34" t="s">
        <v>558</v>
      </c>
      <c r="I31" s="33" t="s">
        <v>49</v>
      </c>
      <c r="J31" s="33">
        <f t="shared" si="0"/>
        <v>1</v>
      </c>
      <c r="K31" s="33" t="str">
        <f>IF(COUNTIF(Scénarios!$A$2:$A$14,C31)=1,"OK","MANQUANT")</f>
        <v>OK</v>
      </c>
      <c r="L31" s="33" t="str">
        <f>IF(SUMPRODUCT(ISNUMBER(SEARCH(Exigences!$A$2:$A$20,D31))*1)=J31,"OK","INCONNU")</f>
        <v>OK</v>
      </c>
      <c r="M31" s="33" t="str">
        <f>IF(SUMPRODUCT(ISNUMBER(SEARCH(Exigences!$A$2:$A$20,D31))*ISNUMBER(SEARCH(Exigences!$A$2:$A$20,INDEX(Scénarios!$C$2:$C$14,MATCH(C31,Scénarios!$A$2:$A$14,0)))))=J31,"OK","À VÉRIFIER")</f>
        <v>OK</v>
      </c>
      <c r="N31" s="33">
        <f>COUNTIF(Sheet2!$C$2:$C$71,A31)</f>
        <v>1</v>
      </c>
    </row>
    <row r="32" spans="1:14" ht="26.25" customHeight="1" x14ac:dyDescent="0.25">
      <c r="A32" s="33" t="s">
        <v>369</v>
      </c>
      <c r="B32" s="34" t="s">
        <v>370</v>
      </c>
      <c r="C32" s="33" t="s">
        <v>377</v>
      </c>
      <c r="D32" s="34" t="s">
        <v>376</v>
      </c>
      <c r="E32" s="34" t="s">
        <v>505</v>
      </c>
      <c r="F32" s="33" t="s">
        <v>53</v>
      </c>
      <c r="G32" s="34" t="s">
        <v>121</v>
      </c>
      <c r="H32" s="34" t="s">
        <v>558</v>
      </c>
      <c r="I32" s="33" t="s">
        <v>49</v>
      </c>
      <c r="J32" s="33">
        <f t="shared" si="0"/>
        <v>1</v>
      </c>
      <c r="K32" s="33" t="str">
        <f>IF(COUNTIF(Scénarios!$A$2:$A$14,C32)=1,"OK","MANQUANT")</f>
        <v>OK</v>
      </c>
      <c r="L32" s="33" t="str">
        <f>IF(SUMPRODUCT(ISNUMBER(SEARCH(Exigences!$A$2:$A$20,D32))*1)=J32,"OK","INCONNU")</f>
        <v>OK</v>
      </c>
      <c r="M32" s="33" t="str">
        <f>IF(SUMPRODUCT(ISNUMBER(SEARCH(Exigences!$A$2:$A$20,D32))*ISNUMBER(SEARCH(Exigences!$A$2:$A$20,INDEX(Scénarios!$C$2:$C$14,MATCH(C32,Scénarios!$A$2:$A$14,0)))))=J32,"OK","À VÉRIFIER")</f>
        <v>OK</v>
      </c>
      <c r="N32" s="33">
        <f>COUNTIF(Sheet2!$C$2:$C$71,A32)</f>
        <v>1</v>
      </c>
    </row>
    <row r="33" spans="1:14" ht="26.25" customHeight="1" x14ac:dyDescent="0.25">
      <c r="A33" s="33" t="s">
        <v>385</v>
      </c>
      <c r="B33" s="34" t="s">
        <v>386</v>
      </c>
      <c r="C33" s="33" t="s">
        <v>377</v>
      </c>
      <c r="D33" s="34" t="s">
        <v>376</v>
      </c>
      <c r="E33" s="34" t="s">
        <v>505</v>
      </c>
      <c r="F33" s="33" t="s">
        <v>83</v>
      </c>
      <c r="G33" s="34" t="s">
        <v>121</v>
      </c>
      <c r="H33" s="34" t="s">
        <v>561</v>
      </c>
      <c r="I33" s="33" t="s">
        <v>49</v>
      </c>
      <c r="J33" s="33">
        <f t="shared" si="0"/>
        <v>1</v>
      </c>
      <c r="K33" s="33" t="str">
        <f>IF(COUNTIF(Scénarios!$A$2:$A$14,C33)=1,"OK","MANQUANT")</f>
        <v>OK</v>
      </c>
      <c r="L33" s="33" t="str">
        <f>IF(SUMPRODUCT(ISNUMBER(SEARCH(Exigences!$A$2:$A$20,D33))*1)=J33,"OK","INCONNU")</f>
        <v>OK</v>
      </c>
      <c r="M33" s="33" t="str">
        <f>IF(SUMPRODUCT(ISNUMBER(SEARCH(Exigences!$A$2:$A$20,D33))*ISNUMBER(SEARCH(Exigences!$A$2:$A$20,INDEX(Scénarios!$C$2:$C$14,MATCH(C33,Scénarios!$A$2:$A$14,0)))))=J33,"OK","À VÉRIFIER")</f>
        <v>OK</v>
      </c>
      <c r="N33" s="33">
        <f>COUNTIF(Sheet2!$C$2:$C$71,A33)</f>
        <v>1</v>
      </c>
    </row>
    <row r="34" spans="1:14" ht="26.25" customHeight="1" x14ac:dyDescent="0.25">
      <c r="A34" s="33" t="s">
        <v>396</v>
      </c>
      <c r="B34" s="34" t="s">
        <v>397</v>
      </c>
      <c r="C34" s="33" t="s">
        <v>377</v>
      </c>
      <c r="D34" s="34" t="s">
        <v>376</v>
      </c>
      <c r="E34" s="34" t="s">
        <v>505</v>
      </c>
      <c r="F34" s="33" t="s">
        <v>53</v>
      </c>
      <c r="G34" s="34" t="s">
        <v>84</v>
      </c>
      <c r="H34" s="34" t="s">
        <v>561</v>
      </c>
      <c r="I34" s="33" t="s">
        <v>49</v>
      </c>
      <c r="J34" s="33">
        <f t="shared" ref="J34:J36" si="1">IF(D34="",0,LEN(D34)-LEN(SUBSTITUTE(D34,",",""))+1)</f>
        <v>1</v>
      </c>
      <c r="K34" s="33" t="str">
        <f>IF(COUNTIF(Scénarios!$A$2:$A$14,C34)=1,"OK","MANQUANT")</f>
        <v>OK</v>
      </c>
      <c r="L34" s="33" t="str">
        <f>IF(SUMPRODUCT(ISNUMBER(SEARCH(Exigences!$A$2:$A$20,D34))*1)=J34,"OK","INCONNU")</f>
        <v>OK</v>
      </c>
      <c r="M34" s="33" t="str">
        <f>IF(SUMPRODUCT(ISNUMBER(SEARCH(Exigences!$A$2:$A$20,D34))*ISNUMBER(SEARCH(Exigences!$A$2:$A$20,INDEX(Scénarios!$C$2:$C$14,MATCH(C34,Scénarios!$A$2:$A$14,0)))))=J34,"OK","À VÉRIFIER")</f>
        <v>OK</v>
      </c>
      <c r="N34" s="33">
        <f>COUNTIF(Sheet2!$C$2:$C$71,A34)</f>
        <v>1</v>
      </c>
    </row>
    <row r="35" spans="1:14" ht="26.25" customHeight="1" x14ac:dyDescent="0.25">
      <c r="A35" s="33" t="s">
        <v>404</v>
      </c>
      <c r="B35" s="34" t="s">
        <v>405</v>
      </c>
      <c r="C35" s="33" t="s">
        <v>411</v>
      </c>
      <c r="D35" s="34" t="s">
        <v>410</v>
      </c>
      <c r="E35" s="34" t="s">
        <v>505</v>
      </c>
      <c r="F35" s="33" t="s">
        <v>53</v>
      </c>
      <c r="G35" s="34" t="s">
        <v>185</v>
      </c>
      <c r="H35" s="34" t="s">
        <v>558</v>
      </c>
      <c r="I35" s="33" t="s">
        <v>49</v>
      </c>
      <c r="J35" s="33">
        <f t="shared" si="1"/>
        <v>1</v>
      </c>
      <c r="K35" s="33" t="str">
        <f>IF(COUNTIF(Scénarios!$A$2:$A$14,C35)=1,"OK","MANQUANT")</f>
        <v>OK</v>
      </c>
      <c r="L35" s="33" t="str">
        <f>IF(SUMPRODUCT(ISNUMBER(SEARCH(Exigences!$A$2:$A$20,D35))*1)=J35,"OK","INCONNU")</f>
        <v>OK</v>
      </c>
      <c r="M35" s="33" t="str">
        <f>IF(SUMPRODUCT(ISNUMBER(SEARCH(Exigences!$A$2:$A$20,D35))*ISNUMBER(SEARCH(Exigences!$A$2:$A$20,INDEX(Scénarios!$C$2:$C$14,MATCH(C35,Scénarios!$A$2:$A$14,0)))))=J35,"OK","À VÉRIFIER")</f>
        <v>OK</v>
      </c>
      <c r="N35" s="33">
        <f>COUNTIF(Sheet2!$C$2:$C$71,A35)</f>
        <v>1</v>
      </c>
    </row>
    <row r="36" spans="1:14" ht="26.25" customHeight="1" x14ac:dyDescent="0.25">
      <c r="A36" s="33" t="s">
        <v>413</v>
      </c>
      <c r="B36" s="34" t="s">
        <v>414</v>
      </c>
      <c r="C36" s="33" t="s">
        <v>411</v>
      </c>
      <c r="D36" s="34" t="s">
        <v>410</v>
      </c>
      <c r="E36" s="34" t="s">
        <v>505</v>
      </c>
      <c r="F36" s="33" t="s">
        <v>53</v>
      </c>
      <c r="G36" s="34" t="s">
        <v>185</v>
      </c>
      <c r="H36" s="34" t="s">
        <v>561</v>
      </c>
      <c r="I36" s="33" t="s">
        <v>166</v>
      </c>
      <c r="J36" s="33">
        <f t="shared" si="1"/>
        <v>1</v>
      </c>
      <c r="K36" s="33" t="str">
        <f>IF(COUNTIF(Scénarios!$A$2:$A$14,C36)=1,"OK","MANQUANT")</f>
        <v>OK</v>
      </c>
      <c r="L36" s="33" t="str">
        <f>IF(SUMPRODUCT(ISNUMBER(SEARCH(Exigences!$A$2:$A$20,D36))*1)=J36,"OK","INCONNU")</f>
        <v>OK</v>
      </c>
      <c r="M36" s="33" t="str">
        <f>IF(SUMPRODUCT(ISNUMBER(SEARCH(Exigences!$A$2:$A$20,D36))*ISNUMBER(SEARCH(Exigences!$A$2:$A$20,INDEX(Scénarios!$C$2:$C$14,MATCH(C36,Scénarios!$A$2:$A$14,0)))))=J36,"OK","À VÉRIFIER")</f>
        <v>OK</v>
      </c>
      <c r="N36" s="33">
        <f>COUNTIF(Sheet2!$C$2:$C$71,A36)</f>
        <v>1</v>
      </c>
    </row>
  </sheetData>
  <autoFilter ref="A1:N36" xr:uid="{00000000-0009-0000-0000-000004000000}"/>
  <conditionalFormatting sqref="K2:M36">
    <cfRule type="cellIs" dxfId="3" priority="2" operator="notEqual">
      <formula>"OK"</formula>
    </cfRule>
  </conditionalFormatting>
  <dataValidations count="1">
    <dataValidation type="list" sqref="I2:I36" xr:uid="{00000000-0002-0000-0400-000000000000}">
      <formula1>"Non exécuté,Réussi,Échoué,Bloqué"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R39"/>
  <sheetViews>
    <sheetView zoomScaleNormal="100" workbookViewId="0">
      <pane xSplit="4" ySplit="3" topLeftCell="E28" activePane="bottomRight" state="frozen"/>
      <selection pane="topRight" activeCell="E1" sqref="E1"/>
      <selection pane="bottomLeft" activeCell="A28" sqref="A28"/>
      <selection pane="bottomRight" activeCell="G43" sqref="G43"/>
    </sheetView>
  </sheetViews>
  <sheetFormatPr baseColWidth="10" defaultColWidth="8.6640625" defaultRowHeight="13.2" x14ac:dyDescent="0.25"/>
  <cols>
    <col min="1" max="1" width="9" customWidth="1"/>
    <col min="2" max="2" width="34" customWidth="1"/>
    <col min="3" max="3" width="8" customWidth="1"/>
    <col min="4" max="4" width="10" customWidth="1"/>
    <col min="5" max="70" width="3.5546875" customWidth="1"/>
  </cols>
  <sheetData>
    <row r="1" spans="1:70" ht="15" customHeight="1" x14ac:dyDescent="0.3">
      <c r="A1" s="35" t="s">
        <v>609</v>
      </c>
    </row>
    <row r="2" spans="1:70" ht="48" customHeight="1" x14ac:dyDescent="0.25">
      <c r="A2" s="36"/>
      <c r="B2" s="36"/>
      <c r="C2" s="36"/>
      <c r="D2" s="37" t="s">
        <v>610</v>
      </c>
      <c r="E2" s="38" t="str">
        <f>INDEX(Index_CT!$C$2:$C$36,MATCH(E$3,Index_CT!$A$2:$A$36,0))</f>
        <v>SC-001</v>
      </c>
      <c r="F2" s="38" t="str">
        <f>INDEX(Index_CT!$C$2:$C$36,MATCH(F$3,Index_CT!$A$2:$A$36,0))</f>
        <v>SC-002</v>
      </c>
      <c r="G2" s="38" t="str">
        <f>INDEX(Index_CT!$C$2:$C$36,MATCH(G$3,Index_CT!$A$2:$A$36,0))</f>
        <v>SC-002</v>
      </c>
      <c r="H2" s="38" t="str">
        <f>INDEX(Index_CT!$C$2:$C$36,MATCH(H$3,Index_CT!$A$2:$A$36,0))</f>
        <v>SC-002</v>
      </c>
      <c r="I2" s="38" t="str">
        <f>INDEX(Index_CT!$C$2:$C$36,MATCH(I$3,Index_CT!$A$2:$A$36,0))</f>
        <v>SC-003</v>
      </c>
      <c r="J2" s="38" t="str">
        <f>INDEX(Index_CT!$C$2:$C$36,MATCH(J$3,Index_CT!$A$2:$A$36,0))</f>
        <v>SC-003</v>
      </c>
      <c r="K2" s="38" t="str">
        <f>INDEX(Index_CT!$C$2:$C$36,MATCH(K$3,Index_CT!$A$2:$A$36,0))</f>
        <v>SC-003</v>
      </c>
      <c r="L2" s="38" t="str">
        <f>INDEX(Index_CT!$C$2:$C$36,MATCH(L$3,Index_CT!$A$2:$A$36,0))</f>
        <v>SC-004</v>
      </c>
      <c r="M2" s="38" t="str">
        <f>INDEX(Index_CT!$C$2:$C$36,MATCH(M$3,Index_CT!$A$2:$A$36,0))</f>
        <v>SC-004</v>
      </c>
      <c r="N2" s="38" t="str">
        <f>INDEX(Index_CT!$C$2:$C$36,MATCH(N$3,Index_CT!$A$2:$A$36,0))</f>
        <v>SC-004</v>
      </c>
      <c r="O2" s="38" t="str">
        <f>INDEX(Index_CT!$C$2:$C$36,MATCH(O$3,Index_CT!$A$2:$A$36,0))</f>
        <v>SC-005</v>
      </c>
      <c r="P2" s="38" t="str">
        <f>INDEX(Index_CT!$C$2:$C$36,MATCH(P$3,Index_CT!$A$2:$A$36,0))</f>
        <v>SC-005</v>
      </c>
      <c r="Q2" s="38" t="str">
        <f>INDEX(Index_CT!$C$2:$C$36,MATCH(Q$3,Index_CT!$A$2:$A$36,0))</f>
        <v>SC-006</v>
      </c>
      <c r="R2" s="38" t="str">
        <f>INDEX(Index_CT!$C$2:$C$36,MATCH(R$3,Index_CT!$A$2:$A$36,0))</f>
        <v>SC-007</v>
      </c>
      <c r="S2" s="38" t="str">
        <f>INDEX(Index_CT!$C$2:$C$36,MATCH(S$3,Index_CT!$A$2:$A$36,0))</f>
        <v>SC-008</v>
      </c>
      <c r="T2" s="38" t="str">
        <f>INDEX(Index_CT!$C$2:$C$36,MATCH(T$3,Index_CT!$A$2:$A$36,0))</f>
        <v>SC-008</v>
      </c>
      <c r="U2" s="38" t="str">
        <f>INDEX(Index_CT!$C$2:$C$36,MATCH(U$3,Index_CT!$A$2:$A$36,0))</f>
        <v>SC-008</v>
      </c>
      <c r="V2" s="38" t="str">
        <f>INDEX(Index_CT!$C$2:$C$36,MATCH(V$3,Index_CT!$A$2:$A$36,0))</f>
        <v>SC-009</v>
      </c>
      <c r="W2" s="38" t="str">
        <f>INDEX(Index_CT!$C$2:$C$36,MATCH(W$3,Index_CT!$A$2:$A$36,0))</f>
        <v>SC-009</v>
      </c>
      <c r="X2" s="38" t="str">
        <f>INDEX(Index_CT!$C$2:$C$36,MATCH(X$3,Index_CT!$A$2:$A$36,0))</f>
        <v>SC-009</v>
      </c>
      <c r="Y2" s="38" t="str">
        <f>INDEX(Index_CT!$C$2:$C$36,MATCH(Y$3,Index_CT!$A$2:$A$36,0))</f>
        <v>SC-009</v>
      </c>
      <c r="Z2" s="38" t="str">
        <f>INDEX(Index_CT!$C$2:$C$36,MATCH(Z$3,Index_CT!$A$2:$A$36,0))</f>
        <v>SC-009</v>
      </c>
      <c r="AA2" s="38" t="str">
        <f>INDEX(Index_CT!$C$2:$C$36,MATCH(AA$3,Index_CT!$A$2:$A$36,0))</f>
        <v>SC-010</v>
      </c>
      <c r="AB2" s="38" t="str">
        <f>INDEX(Index_CT!$C$2:$C$36,MATCH(AB$3,Index_CT!$A$2:$A$36,0))</f>
        <v>SC-010</v>
      </c>
      <c r="AC2" s="38" t="str">
        <f>INDEX(Index_CT!$C$2:$C$36,MATCH(AC$3,Index_CT!$A$2:$A$36,0))</f>
        <v>SC-010</v>
      </c>
      <c r="AD2" s="38" t="str">
        <f>INDEX(Index_CT!$C$2:$C$36,MATCH(AD$3,Index_CT!$A$2:$A$36,0))</f>
        <v>SC-010</v>
      </c>
      <c r="AE2" s="38" t="str">
        <f>INDEX(Index_CT!$C$2:$C$36,MATCH(AE$3,Index_CT!$A$2:$A$36,0))</f>
        <v>SC-010</v>
      </c>
      <c r="AF2" s="38" t="str">
        <f>INDEX(Index_CT!$C$2:$C$36,MATCH(AF$3,Index_CT!$A$2:$A$36,0))</f>
        <v>SC-011</v>
      </c>
      <c r="AG2" s="38" t="str">
        <f>INDEX(Index_CT!$C$2:$C$36,MATCH(AG$3,Index_CT!$A$2:$A$36,0))</f>
        <v>SC-011</v>
      </c>
      <c r="AH2" s="38" t="str">
        <f>INDEX(Index_CT!$C$2:$C$36,MATCH(AH$3,Index_CT!$A$2:$A$36,0))</f>
        <v>SC-011</v>
      </c>
      <c r="AI2" s="38" t="str">
        <f>INDEX(Index_CT!$C$2:$C$36,MATCH(AI$3,Index_CT!$A$2:$A$36,0))</f>
        <v>SC-012</v>
      </c>
      <c r="AJ2" s="38" t="str">
        <f>INDEX(Index_CT!$C$2:$C$36,MATCH(AJ$3,Index_CT!$A$2:$A$36,0))</f>
        <v>SC-012</v>
      </c>
      <c r="AK2" s="38" t="str">
        <f>INDEX(Index_CT!$C$2:$C$36,MATCH(AK$3,Index_CT!$A$2:$A$36,0))</f>
        <v>SC-012</v>
      </c>
      <c r="AL2" s="38" t="str">
        <f>INDEX(Index_CT!$C$2:$C$36,MATCH(AL$3,Index_CT!$A$2:$A$36,0))</f>
        <v>SC-013</v>
      </c>
      <c r="AM2" s="38" t="str">
        <f>INDEX(Index_CT!$C$2:$C$36,MATCH(AM$3,Index_CT!$A$2:$A$36,0))</f>
        <v>SC-013</v>
      </c>
      <c r="AN2" s="38" t="e">
        <f>INDEX(Index_CT!$C$2:$C$36,MATCH(AN$3,Index_CT!$A$2:$A$36,0))</f>
        <v>#N/A</v>
      </c>
      <c r="AO2" s="38" t="e">
        <f>INDEX(Index_CT!$C$2:$C$36,MATCH(AO$3,Index_CT!$A$2:$A$36,0))</f>
        <v>#N/A</v>
      </c>
      <c r="AP2" s="38" t="e">
        <f>INDEX(Index_CT!$C$2:$C$36,MATCH(AP$3,Index_CT!$A$2:$A$36,0))</f>
        <v>#N/A</v>
      </c>
      <c r="AQ2" s="38" t="e">
        <f>INDEX(Index_CT!$C$2:$C$36,MATCH(AQ$3,Index_CT!$A$2:$A$36,0))</f>
        <v>#N/A</v>
      </c>
      <c r="AR2" s="38" t="e">
        <f>INDEX(Index_CT!$C$2:$C$36,MATCH(AR$3,Index_CT!$A$2:$A$36,0))</f>
        <v>#N/A</v>
      </c>
      <c r="AS2" s="38" t="e">
        <f>INDEX(Index_CT!$C$2:$C$36,MATCH(AS$3,Index_CT!$A$2:$A$36,0))</f>
        <v>#N/A</v>
      </c>
      <c r="AT2" s="38" t="e">
        <f>INDEX(Index_CT!$C$2:$C$36,MATCH(AT$3,Index_CT!$A$2:$A$36,0))</f>
        <v>#N/A</v>
      </c>
      <c r="AU2" s="38" t="e">
        <f>INDEX(Index_CT!$C$2:$C$36,MATCH(AU$3,Index_CT!$A$2:$A$36,0))</f>
        <v>#N/A</v>
      </c>
      <c r="AV2" s="38" t="e">
        <f>INDEX(Index_CT!$C$2:$C$36,MATCH(AV$3,Index_CT!$A$2:$A$36,0))</f>
        <v>#N/A</v>
      </c>
      <c r="AW2" s="38" t="e">
        <f>INDEX(Index_CT!$C$2:$C$36,MATCH(AW$3,Index_CT!$A$2:$A$36,0))</f>
        <v>#N/A</v>
      </c>
      <c r="AX2" s="38" t="e">
        <f>INDEX(Index_CT!$C$2:$C$36,MATCH(AX$3,Index_CT!$A$2:$A$36,0))</f>
        <v>#N/A</v>
      </c>
      <c r="AY2" s="38" t="e">
        <f>INDEX(Index_CT!$C$2:$C$36,MATCH(AY$3,Index_CT!$A$2:$A$36,0))</f>
        <v>#N/A</v>
      </c>
      <c r="AZ2" s="38" t="e">
        <f>INDEX(Index_CT!$C$2:$C$36,MATCH(AZ$3,Index_CT!$A$2:$A$36,0))</f>
        <v>#N/A</v>
      </c>
      <c r="BA2" s="38" t="e">
        <f>INDEX(Index_CT!$C$2:$C$36,MATCH(BA$3,Index_CT!$A$2:$A$36,0))</f>
        <v>#N/A</v>
      </c>
      <c r="BB2" s="38" t="e">
        <f>INDEX(Index_CT!$C$2:$C$36,MATCH(BB$3,Index_CT!$A$2:$A$36,0))</f>
        <v>#N/A</v>
      </c>
      <c r="BC2" s="38" t="e">
        <f>INDEX(Index_CT!$C$2:$C$36,MATCH(BC$3,Index_CT!$A$2:$A$36,0))</f>
        <v>#N/A</v>
      </c>
      <c r="BD2" s="38" t="e">
        <f>INDEX(Index_CT!$C$2:$C$36,MATCH(BD$3,Index_CT!$A$2:$A$36,0))</f>
        <v>#N/A</v>
      </c>
      <c r="BE2" s="38" t="e">
        <f>INDEX(Index_CT!$C$2:$C$36,MATCH(BE$3,Index_CT!$A$2:$A$36,0))</f>
        <v>#N/A</v>
      </c>
      <c r="BF2" s="38" t="e">
        <f>INDEX(Index_CT!$C$2:$C$36,MATCH(BF$3,Index_CT!$A$2:$A$36,0))</f>
        <v>#N/A</v>
      </c>
      <c r="BG2" s="38" t="e">
        <f>INDEX(Index_CT!$C$2:$C$36,MATCH(BG$3,Index_CT!$A$2:$A$36,0))</f>
        <v>#N/A</v>
      </c>
      <c r="BH2" s="38" t="e">
        <f>INDEX(Index_CT!$C$2:$C$36,MATCH(BH$3,Index_CT!$A$2:$A$36,0))</f>
        <v>#N/A</v>
      </c>
      <c r="BI2" s="38" t="e">
        <f>INDEX(Index_CT!$C$2:$C$36,MATCH(BI$3,Index_CT!$A$2:$A$36,0))</f>
        <v>#N/A</v>
      </c>
      <c r="BJ2" s="38" t="e">
        <f>INDEX(Index_CT!$C$2:$C$36,MATCH(BJ$3,Index_CT!$A$2:$A$36,0))</f>
        <v>#N/A</v>
      </c>
      <c r="BK2" s="38" t="e">
        <f>INDEX(Index_CT!$C$2:$C$36,MATCH(BK$3,Index_CT!$A$2:$A$36,0))</f>
        <v>#N/A</v>
      </c>
      <c r="BL2" s="38" t="e">
        <f>INDEX(Index_CT!$C$2:$C$36,MATCH(BL$3,Index_CT!$A$2:$A$36,0))</f>
        <v>#N/A</v>
      </c>
      <c r="BM2" s="38" t="e">
        <f>INDEX(Index_CT!$C$2:$C$36,MATCH(BM$3,Index_CT!$A$2:$A$36,0))</f>
        <v>#N/A</v>
      </c>
      <c r="BN2" s="38" t="e">
        <f>INDEX(Index_CT!$C$2:$C$36,MATCH(BN$3,Index_CT!$A$2:$A$36,0))</f>
        <v>#N/A</v>
      </c>
      <c r="BO2" s="38" t="e">
        <f>INDEX(Index_CT!$C$2:$C$36,MATCH(BO$3,Index_CT!$A$2:$A$36,0))</f>
        <v>#N/A</v>
      </c>
      <c r="BP2" s="38" t="e">
        <f>INDEX(Index_CT!$C$2:$C$36,MATCH(BP$3,Index_CT!$A$2:$A$36,0))</f>
        <v>#N/A</v>
      </c>
      <c r="BQ2" s="38" t="e">
        <f>INDEX(Index_CT!$C$2:$C$36,MATCH(BQ$3,Index_CT!$A$2:$A$36,0))</f>
        <v>#N/A</v>
      </c>
      <c r="BR2" s="38" t="e">
        <f>INDEX(Index_CT!$C$2:$C$36,MATCH(BR$3,Index_CT!$A$2:$A$36,0))</f>
        <v>#N/A</v>
      </c>
    </row>
    <row r="3" spans="1:70" ht="48" customHeight="1" x14ac:dyDescent="0.25">
      <c r="A3" s="36" t="s">
        <v>466</v>
      </c>
      <c r="B3" s="36" t="s">
        <v>469</v>
      </c>
      <c r="C3" s="36" t="s">
        <v>37</v>
      </c>
      <c r="D3" s="36" t="s">
        <v>611</v>
      </c>
      <c r="E3" s="38" t="s">
        <v>41</v>
      </c>
      <c r="F3" s="38" t="s">
        <v>61</v>
      </c>
      <c r="G3" s="38" t="s">
        <v>72</v>
      </c>
      <c r="H3" s="38" t="s">
        <v>79</v>
      </c>
      <c r="I3" s="38" t="s">
        <v>87</v>
      </c>
      <c r="J3" s="38" t="s">
        <v>97</v>
      </c>
      <c r="K3" s="38" t="s">
        <v>104</v>
      </c>
      <c r="L3" s="38" t="s">
        <v>111</v>
      </c>
      <c r="M3" s="38" t="s">
        <v>125</v>
      </c>
      <c r="N3" s="38" t="s">
        <v>139</v>
      </c>
      <c r="O3" s="38" t="s">
        <v>147</v>
      </c>
      <c r="P3" s="38" t="s">
        <v>159</v>
      </c>
      <c r="Q3" s="38" t="s">
        <v>175</v>
      </c>
      <c r="R3" s="38" t="s">
        <v>187</v>
      </c>
      <c r="S3" s="38" t="s">
        <v>201</v>
      </c>
      <c r="T3" s="38" t="s">
        <v>229</v>
      </c>
      <c r="U3" s="38" t="s">
        <v>237</v>
      </c>
      <c r="V3" s="38" t="s">
        <v>247</v>
      </c>
      <c r="W3" s="38" t="s">
        <v>257</v>
      </c>
      <c r="X3" s="38" t="s">
        <v>270</v>
      </c>
      <c r="Y3" s="38" t="s">
        <v>282</v>
      </c>
      <c r="Z3" s="38" t="s">
        <v>291</v>
      </c>
      <c r="AA3" s="38" t="s">
        <v>301</v>
      </c>
      <c r="AB3" s="38" t="s">
        <v>313</v>
      </c>
      <c r="AC3" s="38" t="s">
        <v>321</v>
      </c>
      <c r="AD3" s="38" t="s">
        <v>328</v>
      </c>
      <c r="AE3" s="38" t="s">
        <v>335</v>
      </c>
      <c r="AF3" s="38" t="s">
        <v>342</v>
      </c>
      <c r="AG3" s="38" t="s">
        <v>352</v>
      </c>
      <c r="AH3" s="38" t="s">
        <v>359</v>
      </c>
      <c r="AI3" s="38" t="s">
        <v>369</v>
      </c>
      <c r="AJ3" s="38" t="s">
        <v>385</v>
      </c>
      <c r="AK3" s="38" t="s">
        <v>396</v>
      </c>
      <c r="AL3" s="38" t="s">
        <v>404</v>
      </c>
      <c r="AM3" s="38" t="s">
        <v>413</v>
      </c>
      <c r="AN3" s="38" t="s">
        <v>420</v>
      </c>
      <c r="AO3" s="38" t="s">
        <v>422</v>
      </c>
      <c r="AP3" s="38" t="s">
        <v>423</v>
      </c>
      <c r="AQ3" s="38" t="s">
        <v>425</v>
      </c>
      <c r="AR3" s="38" t="s">
        <v>426</v>
      </c>
      <c r="AS3" s="38" t="s">
        <v>428</v>
      </c>
      <c r="AT3" s="38" t="s">
        <v>429</v>
      </c>
      <c r="AU3" s="38" t="s">
        <v>430</v>
      </c>
      <c r="AV3" s="38" t="s">
        <v>432</v>
      </c>
      <c r="AW3" s="38" t="s">
        <v>434</v>
      </c>
      <c r="AX3" s="38" t="s">
        <v>435</v>
      </c>
      <c r="AY3" s="38" t="s">
        <v>437</v>
      </c>
      <c r="AZ3" s="38" t="s">
        <v>438</v>
      </c>
      <c r="BA3" s="38" t="s">
        <v>440</v>
      </c>
      <c r="BB3" s="38" t="s">
        <v>442</v>
      </c>
      <c r="BC3" s="38" t="s">
        <v>443</v>
      </c>
      <c r="BD3" s="38" t="s">
        <v>445</v>
      </c>
      <c r="BE3" s="38" t="s">
        <v>446</v>
      </c>
      <c r="BF3" s="38" t="s">
        <v>448</v>
      </c>
      <c r="BG3" s="38" t="s">
        <v>450</v>
      </c>
      <c r="BH3" s="38" t="s">
        <v>452</v>
      </c>
      <c r="BI3" s="38" t="s">
        <v>454</v>
      </c>
      <c r="BJ3" s="38" t="s">
        <v>455</v>
      </c>
      <c r="BK3" s="38" t="s">
        <v>456</v>
      </c>
      <c r="BL3" s="38" t="s">
        <v>457</v>
      </c>
      <c r="BM3" s="38" t="s">
        <v>459</v>
      </c>
      <c r="BN3" s="38" t="s">
        <v>460</v>
      </c>
      <c r="BO3" s="38" t="s">
        <v>461</v>
      </c>
      <c r="BP3" s="38" t="s">
        <v>462</v>
      </c>
      <c r="BQ3" s="38" t="s">
        <v>464</v>
      </c>
      <c r="BR3" s="38" t="s">
        <v>465</v>
      </c>
    </row>
    <row r="4" spans="1:70" x14ac:dyDescent="0.25">
      <c r="A4" s="33" t="s">
        <v>476</v>
      </c>
      <c r="B4" s="34" t="s">
        <v>478</v>
      </c>
      <c r="C4" s="33" t="s">
        <v>53</v>
      </c>
      <c r="D4" s="33">
        <f t="shared" ref="D4:D38" si="0">COUNTIF(E4:BR4,"X")</f>
        <v>1</v>
      </c>
      <c r="E4" s="39" t="str">
        <f>IF(ISNUMBER(SEARCH($A4,INDEX(Index_CT!$D$2:$D$36,MATCH(E$3,Index_CT!$A$2:$A$36,0)))),"X","")</f>
        <v>X</v>
      </c>
      <c r="F4" s="39" t="str">
        <f>IF(ISNUMBER(SEARCH($A4,INDEX(Index_CT!$D$2:$D$36,MATCH(F$3,Index_CT!$A$2:$A$36,0)))),"X","")</f>
        <v/>
      </c>
      <c r="G4" s="39" t="str">
        <f>IF(ISNUMBER(SEARCH($A4,INDEX(Index_CT!$D$2:$D$36,MATCH(G$3,Index_CT!$A$2:$A$36,0)))),"X","")</f>
        <v/>
      </c>
      <c r="H4" s="39" t="str">
        <f>IF(ISNUMBER(SEARCH($A4,INDEX(Index_CT!$D$2:$D$36,MATCH(H$3,Index_CT!$A$2:$A$36,0)))),"X","")</f>
        <v/>
      </c>
      <c r="I4" s="39" t="str">
        <f>IF(ISNUMBER(SEARCH($A4,INDEX(Index_CT!$D$2:$D$36,MATCH(I$3,Index_CT!$A$2:$A$36,0)))),"X","")</f>
        <v/>
      </c>
      <c r="J4" s="39" t="str">
        <f>IF(ISNUMBER(SEARCH($A4,INDEX(Index_CT!$D$2:$D$36,MATCH(J$3,Index_CT!$A$2:$A$36,0)))),"X","")</f>
        <v/>
      </c>
      <c r="K4" s="39" t="str">
        <f>IF(ISNUMBER(SEARCH($A4,INDEX(Index_CT!$D$2:$D$36,MATCH(K$3,Index_CT!$A$2:$A$36,0)))),"X","")</f>
        <v/>
      </c>
      <c r="L4" s="39" t="str">
        <f>IF(ISNUMBER(SEARCH($A4,INDEX(Index_CT!$D$2:$D$36,MATCH(L$3,Index_CT!$A$2:$A$36,0)))),"X","")</f>
        <v/>
      </c>
      <c r="M4" s="39" t="str">
        <f>IF(ISNUMBER(SEARCH($A4,INDEX(Index_CT!$D$2:$D$36,MATCH(M$3,Index_CT!$A$2:$A$36,0)))),"X","")</f>
        <v/>
      </c>
      <c r="N4" s="39" t="str">
        <f>IF(ISNUMBER(SEARCH($A4,INDEX(Index_CT!$D$2:$D$36,MATCH(N$3,Index_CT!$A$2:$A$36,0)))),"X","")</f>
        <v/>
      </c>
      <c r="O4" s="39" t="str">
        <f>IF(ISNUMBER(SEARCH($A4,INDEX(Index_CT!$D$2:$D$36,MATCH(O$3,Index_CT!$A$2:$A$36,0)))),"X","")</f>
        <v/>
      </c>
      <c r="P4" s="39" t="str">
        <f>IF(ISNUMBER(SEARCH($A4,INDEX(Index_CT!$D$2:$D$36,MATCH(P$3,Index_CT!$A$2:$A$36,0)))),"X","")</f>
        <v/>
      </c>
      <c r="Q4" s="39" t="str">
        <f>IF(ISNUMBER(SEARCH($A4,INDEX(Index_CT!$D$2:$D$36,MATCH(Q$3,Index_CT!$A$2:$A$36,0)))),"X","")</f>
        <v/>
      </c>
      <c r="R4" s="39" t="str">
        <f>IF(ISNUMBER(SEARCH($A4,INDEX(Index_CT!$D$2:$D$36,MATCH(R$3,Index_CT!$A$2:$A$36,0)))),"X","")</f>
        <v/>
      </c>
      <c r="S4" s="39" t="str">
        <f>IF(ISNUMBER(SEARCH($A4,INDEX(Index_CT!$D$2:$D$36,MATCH(S$3,Index_CT!$A$2:$A$36,0)))),"X","")</f>
        <v/>
      </c>
      <c r="T4" s="39" t="str">
        <f>IF(ISNUMBER(SEARCH($A4,INDEX(Index_CT!$D$2:$D$36,MATCH(T$3,Index_CT!$A$2:$A$36,0)))),"X","")</f>
        <v/>
      </c>
      <c r="U4" s="39" t="str">
        <f>IF(ISNUMBER(SEARCH($A4,INDEX(Index_CT!$D$2:$D$36,MATCH(U$3,Index_CT!$A$2:$A$36,0)))),"X","")</f>
        <v/>
      </c>
      <c r="V4" s="39" t="str">
        <f>IF(ISNUMBER(SEARCH($A4,INDEX(Index_CT!$D$2:$D$36,MATCH(V$3,Index_CT!$A$2:$A$36,0)))),"X","")</f>
        <v/>
      </c>
      <c r="W4" s="39" t="str">
        <f>IF(ISNUMBER(SEARCH($A4,INDEX(Index_CT!$D$2:$D$36,MATCH(W$3,Index_CT!$A$2:$A$36,0)))),"X","")</f>
        <v/>
      </c>
      <c r="X4" s="39" t="str">
        <f>IF(ISNUMBER(SEARCH($A4,INDEX(Index_CT!$D$2:$D$36,MATCH(X$3,Index_CT!$A$2:$A$36,0)))),"X","")</f>
        <v/>
      </c>
      <c r="Y4" s="39" t="str">
        <f>IF(ISNUMBER(SEARCH($A4,INDEX(Index_CT!$D$2:$D$36,MATCH(Y$3,Index_CT!$A$2:$A$36,0)))),"X","")</f>
        <v/>
      </c>
      <c r="Z4" s="39" t="str">
        <f>IF(ISNUMBER(SEARCH($A4,INDEX(Index_CT!$D$2:$D$36,MATCH(Z$3,Index_CT!$A$2:$A$36,0)))),"X","")</f>
        <v/>
      </c>
      <c r="AA4" s="39" t="str">
        <f>IF(ISNUMBER(SEARCH($A4,INDEX(Index_CT!$D$2:$D$36,MATCH(AA$3,Index_CT!$A$2:$A$36,0)))),"X","")</f>
        <v/>
      </c>
      <c r="AB4" s="39" t="str">
        <f>IF(ISNUMBER(SEARCH($A4,INDEX(Index_CT!$D$2:$D$36,MATCH(AB$3,Index_CT!$A$2:$A$36,0)))),"X","")</f>
        <v/>
      </c>
      <c r="AC4" s="39" t="str">
        <f>IF(ISNUMBER(SEARCH($A4,INDEX(Index_CT!$D$2:$D$36,MATCH(AC$3,Index_CT!$A$2:$A$36,0)))),"X","")</f>
        <v/>
      </c>
      <c r="AD4" s="39" t="str">
        <f>IF(ISNUMBER(SEARCH($A4,INDEX(Index_CT!$D$2:$D$36,MATCH(AD$3,Index_CT!$A$2:$A$36,0)))),"X","")</f>
        <v/>
      </c>
      <c r="AE4" s="39" t="str">
        <f>IF(ISNUMBER(SEARCH($A4,INDEX(Index_CT!$D$2:$D$36,MATCH(AE$3,Index_CT!$A$2:$A$36,0)))),"X","")</f>
        <v/>
      </c>
      <c r="AF4" s="39" t="str">
        <f>IF(ISNUMBER(SEARCH($A4,INDEX(Index_CT!$D$2:$D$36,MATCH(AF$3,Index_CT!$A$2:$A$36,0)))),"X","")</f>
        <v/>
      </c>
      <c r="AG4" s="39" t="str">
        <f>IF(ISNUMBER(SEARCH($A4,INDEX(Index_CT!$D$2:$D$36,MATCH(AG$3,Index_CT!$A$2:$A$36,0)))),"X","")</f>
        <v/>
      </c>
      <c r="AH4" s="39" t="str">
        <f>IF(ISNUMBER(SEARCH($A4,INDEX(Index_CT!$D$2:$D$36,MATCH(AH$3,Index_CT!$A$2:$A$36,0)))),"X","")</f>
        <v/>
      </c>
      <c r="AI4" s="39" t="str">
        <f>IF(ISNUMBER(SEARCH($A4,INDEX(Index_CT!$D$2:$D$36,MATCH(AI$3,Index_CT!$A$2:$A$36,0)))),"X","")</f>
        <v/>
      </c>
      <c r="AJ4" s="39" t="str">
        <f>IF(ISNUMBER(SEARCH($A4,INDEX(Index_CT!$D$2:$D$36,MATCH(AJ$3,Index_CT!$A$2:$A$36,0)))),"X","")</f>
        <v/>
      </c>
      <c r="AK4" s="39" t="str">
        <f>IF(ISNUMBER(SEARCH($A4,INDEX(Index_CT!$D$2:$D$36,MATCH(AK$3,Index_CT!$A$2:$A$36,0)))),"X","")</f>
        <v/>
      </c>
      <c r="AL4" s="39" t="str">
        <f>IF(ISNUMBER(SEARCH($A4,INDEX(Index_CT!$D$2:$D$36,MATCH(AL$3,Index_CT!$A$2:$A$36,0)))),"X","")</f>
        <v/>
      </c>
      <c r="AM4" s="39" t="str">
        <f>IF(ISNUMBER(SEARCH($A4,INDEX(Index_CT!$D$2:$D$36,MATCH(AM$3,Index_CT!$A$2:$A$36,0)))),"X","")</f>
        <v/>
      </c>
      <c r="AN4" s="39" t="str">
        <f>IF(ISNUMBER(SEARCH($A4,INDEX(Index_CT!$D$2:$D$36,MATCH(AN$3,Index_CT!$A$2:$A$36,0)))),"X","")</f>
        <v/>
      </c>
      <c r="AO4" s="39" t="str">
        <f>IF(ISNUMBER(SEARCH($A4,INDEX(Index_CT!$D$2:$D$36,MATCH(AO$3,Index_CT!$A$2:$A$36,0)))),"X","")</f>
        <v/>
      </c>
      <c r="AP4" s="39" t="str">
        <f>IF(ISNUMBER(SEARCH($A4,INDEX(Index_CT!$D$2:$D$36,MATCH(AP$3,Index_CT!$A$2:$A$36,0)))),"X","")</f>
        <v/>
      </c>
      <c r="AQ4" s="39" t="str">
        <f>IF(ISNUMBER(SEARCH($A4,INDEX(Index_CT!$D$2:$D$36,MATCH(AQ$3,Index_CT!$A$2:$A$36,0)))),"X","")</f>
        <v/>
      </c>
      <c r="AR4" s="39" t="str">
        <f>IF(ISNUMBER(SEARCH($A4,INDEX(Index_CT!$D$2:$D$36,MATCH(AR$3,Index_CT!$A$2:$A$36,0)))),"X","")</f>
        <v/>
      </c>
      <c r="AS4" s="39" t="str">
        <f>IF(ISNUMBER(SEARCH($A4,INDEX(Index_CT!$D$2:$D$36,MATCH(AS$3,Index_CT!$A$2:$A$36,0)))),"X","")</f>
        <v/>
      </c>
      <c r="AT4" s="39" t="str">
        <f>IF(ISNUMBER(SEARCH($A4,INDEX(Index_CT!$D$2:$D$36,MATCH(AT$3,Index_CT!$A$2:$A$36,0)))),"X","")</f>
        <v/>
      </c>
      <c r="AU4" s="39" t="str">
        <f>IF(ISNUMBER(SEARCH($A4,INDEX(Index_CT!$D$2:$D$36,MATCH(AU$3,Index_CT!$A$2:$A$36,0)))),"X","")</f>
        <v/>
      </c>
      <c r="AV4" s="39" t="str">
        <f>IF(ISNUMBER(SEARCH($A4,INDEX(Index_CT!$D$2:$D$36,MATCH(AV$3,Index_CT!$A$2:$A$36,0)))),"X","")</f>
        <v/>
      </c>
      <c r="AW4" s="39" t="str">
        <f>IF(ISNUMBER(SEARCH($A4,INDEX(Index_CT!$D$2:$D$36,MATCH(AW$3,Index_CT!$A$2:$A$36,0)))),"X","")</f>
        <v/>
      </c>
      <c r="AX4" s="39" t="str">
        <f>IF(ISNUMBER(SEARCH($A4,INDEX(Index_CT!$D$2:$D$36,MATCH(AX$3,Index_CT!$A$2:$A$36,0)))),"X","")</f>
        <v/>
      </c>
      <c r="AY4" s="39" t="str">
        <f>IF(ISNUMBER(SEARCH($A4,INDEX(Index_CT!$D$2:$D$36,MATCH(AY$3,Index_CT!$A$2:$A$36,0)))),"X","")</f>
        <v/>
      </c>
      <c r="AZ4" s="39" t="str">
        <f>IF(ISNUMBER(SEARCH($A4,INDEX(Index_CT!$D$2:$D$36,MATCH(AZ$3,Index_CT!$A$2:$A$36,0)))),"X","")</f>
        <v/>
      </c>
      <c r="BA4" s="39" t="str">
        <f>IF(ISNUMBER(SEARCH($A4,INDEX(Index_CT!$D$2:$D$36,MATCH(BA$3,Index_CT!$A$2:$A$36,0)))),"X","")</f>
        <v/>
      </c>
      <c r="BB4" s="39" t="str">
        <f>IF(ISNUMBER(SEARCH($A4,INDEX(Index_CT!$D$2:$D$36,MATCH(BB$3,Index_CT!$A$2:$A$36,0)))),"X","")</f>
        <v/>
      </c>
      <c r="BC4" s="39" t="str">
        <f>IF(ISNUMBER(SEARCH($A4,INDEX(Index_CT!$D$2:$D$36,MATCH(BC$3,Index_CT!$A$2:$A$36,0)))),"X","")</f>
        <v/>
      </c>
      <c r="BD4" s="39" t="str">
        <f>IF(ISNUMBER(SEARCH($A4,INDEX(Index_CT!$D$2:$D$36,MATCH(BD$3,Index_CT!$A$2:$A$36,0)))),"X","")</f>
        <v/>
      </c>
      <c r="BE4" s="39" t="str">
        <f>IF(ISNUMBER(SEARCH($A4,INDEX(Index_CT!$D$2:$D$36,MATCH(BE$3,Index_CT!$A$2:$A$36,0)))),"X","")</f>
        <v/>
      </c>
      <c r="BF4" s="39" t="str">
        <f>IF(ISNUMBER(SEARCH($A4,INDEX(Index_CT!$D$2:$D$36,MATCH(BF$3,Index_CT!$A$2:$A$36,0)))),"X","")</f>
        <v/>
      </c>
      <c r="BG4" s="39" t="str">
        <f>IF(ISNUMBER(SEARCH($A4,INDEX(Index_CT!$D$2:$D$36,MATCH(BG$3,Index_CT!$A$2:$A$36,0)))),"X","")</f>
        <v/>
      </c>
      <c r="BH4" s="39" t="str">
        <f>IF(ISNUMBER(SEARCH($A4,INDEX(Index_CT!$D$2:$D$36,MATCH(BH$3,Index_CT!$A$2:$A$36,0)))),"X","")</f>
        <v/>
      </c>
      <c r="BI4" s="39" t="str">
        <f>IF(ISNUMBER(SEARCH($A4,INDEX(Index_CT!$D$2:$D$36,MATCH(BI$3,Index_CT!$A$2:$A$36,0)))),"X","")</f>
        <v/>
      </c>
      <c r="BJ4" s="39" t="str">
        <f>IF(ISNUMBER(SEARCH($A4,INDEX(Index_CT!$D$2:$D$36,MATCH(BJ$3,Index_CT!$A$2:$A$36,0)))),"X","")</f>
        <v/>
      </c>
      <c r="BK4" s="39" t="str">
        <f>IF(ISNUMBER(SEARCH($A4,INDEX(Index_CT!$D$2:$D$36,MATCH(BK$3,Index_CT!$A$2:$A$36,0)))),"X","")</f>
        <v/>
      </c>
      <c r="BL4" s="39" t="str">
        <f>IF(ISNUMBER(SEARCH($A4,INDEX(Index_CT!$D$2:$D$36,MATCH(BL$3,Index_CT!$A$2:$A$36,0)))),"X","")</f>
        <v/>
      </c>
      <c r="BM4" s="39" t="str">
        <f>IF(ISNUMBER(SEARCH($A4,INDEX(Index_CT!$D$2:$D$36,MATCH(BM$3,Index_CT!$A$2:$A$36,0)))),"X","")</f>
        <v/>
      </c>
      <c r="BN4" s="39" t="str">
        <f>IF(ISNUMBER(SEARCH($A4,INDEX(Index_CT!$D$2:$D$36,MATCH(BN$3,Index_CT!$A$2:$A$36,0)))),"X","")</f>
        <v/>
      </c>
      <c r="BO4" s="39" t="str">
        <f>IF(ISNUMBER(SEARCH($A4,INDEX(Index_CT!$D$2:$D$36,MATCH(BO$3,Index_CT!$A$2:$A$36,0)))),"X","")</f>
        <v/>
      </c>
      <c r="BP4" s="39" t="str">
        <f>IF(ISNUMBER(SEARCH($A4,INDEX(Index_CT!$D$2:$D$36,MATCH(BP$3,Index_CT!$A$2:$A$36,0)))),"X","")</f>
        <v/>
      </c>
      <c r="BQ4" s="39" t="str">
        <f>IF(ISNUMBER(SEARCH($A4,INDEX(Index_CT!$D$2:$D$36,MATCH(BQ$3,Index_CT!$A$2:$A$36,0)))),"X","")</f>
        <v/>
      </c>
      <c r="BR4" s="39" t="str">
        <f>IF(ISNUMBER(SEARCH($A4,INDEX(Index_CT!$D$2:$D$36,MATCH(BR$3,Index_CT!$A$2:$A$36,0)))),"X","")</f>
        <v/>
      </c>
    </row>
    <row r="5" spans="1:70" x14ac:dyDescent="0.25">
      <c r="A5" s="33" t="s">
        <v>65</v>
      </c>
      <c r="B5" s="34" t="s">
        <v>481</v>
      </c>
      <c r="C5" s="33" t="s">
        <v>53</v>
      </c>
      <c r="D5" s="33">
        <f t="shared" si="0"/>
        <v>3</v>
      </c>
      <c r="E5" s="39" t="str">
        <f>IF(ISNUMBER(SEARCH($A5,INDEX(Index_CT!$D$2:$D$36,MATCH(E$3,Index_CT!$A$2:$A$36,0)))),"X","")</f>
        <v/>
      </c>
      <c r="F5" s="39" t="str">
        <f>IF(ISNUMBER(SEARCH($A5,INDEX(Index_CT!$D$2:$D$36,MATCH(F$3,Index_CT!$A$2:$A$36,0)))),"X","")</f>
        <v>X</v>
      </c>
      <c r="G5" s="39" t="str">
        <f>IF(ISNUMBER(SEARCH($A5,INDEX(Index_CT!$D$2:$D$36,MATCH(G$3,Index_CT!$A$2:$A$36,0)))),"X","")</f>
        <v>X</v>
      </c>
      <c r="H5" s="39" t="str">
        <f>IF(ISNUMBER(SEARCH($A5,INDEX(Index_CT!$D$2:$D$36,MATCH(H$3,Index_CT!$A$2:$A$36,0)))),"X","")</f>
        <v>X</v>
      </c>
      <c r="I5" s="39" t="str">
        <f>IF(ISNUMBER(SEARCH($A5,INDEX(Index_CT!$D$2:$D$36,MATCH(I$3,Index_CT!$A$2:$A$36,0)))),"X","")</f>
        <v/>
      </c>
      <c r="J5" s="39" t="str">
        <f>IF(ISNUMBER(SEARCH($A5,INDEX(Index_CT!$D$2:$D$36,MATCH(J$3,Index_CT!$A$2:$A$36,0)))),"X","")</f>
        <v/>
      </c>
      <c r="K5" s="39" t="str">
        <f>IF(ISNUMBER(SEARCH($A5,INDEX(Index_CT!$D$2:$D$36,MATCH(K$3,Index_CT!$A$2:$A$36,0)))),"X","")</f>
        <v/>
      </c>
      <c r="L5" s="39" t="str">
        <f>IF(ISNUMBER(SEARCH($A5,INDEX(Index_CT!$D$2:$D$36,MATCH(L$3,Index_CT!$A$2:$A$36,0)))),"X","")</f>
        <v/>
      </c>
      <c r="M5" s="39" t="str">
        <f>IF(ISNUMBER(SEARCH($A5,INDEX(Index_CT!$D$2:$D$36,MATCH(M$3,Index_CT!$A$2:$A$36,0)))),"X","")</f>
        <v/>
      </c>
      <c r="N5" s="39" t="str">
        <f>IF(ISNUMBER(SEARCH($A5,INDEX(Index_CT!$D$2:$D$36,MATCH(N$3,Index_CT!$A$2:$A$36,0)))),"X","")</f>
        <v/>
      </c>
      <c r="O5" s="39" t="str">
        <f>IF(ISNUMBER(SEARCH($A5,INDEX(Index_CT!$D$2:$D$36,MATCH(O$3,Index_CT!$A$2:$A$36,0)))),"X","")</f>
        <v/>
      </c>
      <c r="P5" s="39" t="str">
        <f>IF(ISNUMBER(SEARCH($A5,INDEX(Index_CT!$D$2:$D$36,MATCH(P$3,Index_CT!$A$2:$A$36,0)))),"X","")</f>
        <v/>
      </c>
      <c r="Q5" s="39" t="str">
        <f>IF(ISNUMBER(SEARCH($A5,INDEX(Index_CT!$D$2:$D$36,MATCH(Q$3,Index_CT!$A$2:$A$36,0)))),"X","")</f>
        <v/>
      </c>
      <c r="R5" s="39" t="str">
        <f>IF(ISNUMBER(SEARCH($A5,INDEX(Index_CT!$D$2:$D$36,MATCH(R$3,Index_CT!$A$2:$A$36,0)))),"X","")</f>
        <v/>
      </c>
      <c r="S5" s="39" t="str">
        <f>IF(ISNUMBER(SEARCH($A5,INDEX(Index_CT!$D$2:$D$36,MATCH(S$3,Index_CT!$A$2:$A$36,0)))),"X","")</f>
        <v/>
      </c>
      <c r="T5" s="39" t="str">
        <f>IF(ISNUMBER(SEARCH($A5,INDEX(Index_CT!$D$2:$D$36,MATCH(T$3,Index_CT!$A$2:$A$36,0)))),"X","")</f>
        <v/>
      </c>
      <c r="U5" s="39" t="str">
        <f>IF(ISNUMBER(SEARCH($A5,INDEX(Index_CT!$D$2:$D$36,MATCH(U$3,Index_CT!$A$2:$A$36,0)))),"X","")</f>
        <v/>
      </c>
      <c r="V5" s="39" t="str">
        <f>IF(ISNUMBER(SEARCH($A5,INDEX(Index_CT!$D$2:$D$36,MATCH(V$3,Index_CT!$A$2:$A$36,0)))),"X","")</f>
        <v/>
      </c>
      <c r="W5" s="39" t="str">
        <f>IF(ISNUMBER(SEARCH($A5,INDEX(Index_CT!$D$2:$D$36,MATCH(W$3,Index_CT!$A$2:$A$36,0)))),"X","")</f>
        <v/>
      </c>
      <c r="X5" s="39" t="str">
        <f>IF(ISNUMBER(SEARCH($A5,INDEX(Index_CT!$D$2:$D$36,MATCH(X$3,Index_CT!$A$2:$A$36,0)))),"X","")</f>
        <v/>
      </c>
      <c r="Y5" s="39" t="str">
        <f>IF(ISNUMBER(SEARCH($A5,INDEX(Index_CT!$D$2:$D$36,MATCH(Y$3,Index_CT!$A$2:$A$36,0)))),"X","")</f>
        <v/>
      </c>
      <c r="Z5" s="39" t="str">
        <f>IF(ISNUMBER(SEARCH($A5,INDEX(Index_CT!$D$2:$D$36,MATCH(Z$3,Index_CT!$A$2:$A$36,0)))),"X","")</f>
        <v/>
      </c>
      <c r="AA5" s="39" t="str">
        <f>IF(ISNUMBER(SEARCH($A5,INDEX(Index_CT!$D$2:$D$36,MATCH(AA$3,Index_CT!$A$2:$A$36,0)))),"X","")</f>
        <v/>
      </c>
      <c r="AB5" s="39" t="str">
        <f>IF(ISNUMBER(SEARCH($A5,INDEX(Index_CT!$D$2:$D$36,MATCH(AB$3,Index_CT!$A$2:$A$36,0)))),"X","")</f>
        <v/>
      </c>
      <c r="AC5" s="39" t="str">
        <f>IF(ISNUMBER(SEARCH($A5,INDEX(Index_CT!$D$2:$D$36,MATCH(AC$3,Index_CT!$A$2:$A$36,0)))),"X","")</f>
        <v/>
      </c>
      <c r="AD5" s="39" t="str">
        <f>IF(ISNUMBER(SEARCH($A5,INDEX(Index_CT!$D$2:$D$36,MATCH(AD$3,Index_CT!$A$2:$A$36,0)))),"X","")</f>
        <v/>
      </c>
      <c r="AE5" s="39" t="str">
        <f>IF(ISNUMBER(SEARCH($A5,INDEX(Index_CT!$D$2:$D$36,MATCH(AE$3,Index_CT!$A$2:$A$36,0)))),"X","")</f>
        <v/>
      </c>
      <c r="AF5" s="39" t="str">
        <f>IF(ISNUMBER(SEARCH($A5,INDEX(Index_CT!$D$2:$D$36,MATCH(AF$3,Index_CT!$A$2:$A$36,0)))),"X","")</f>
        <v/>
      </c>
      <c r="AG5" s="39" t="str">
        <f>IF(ISNUMBER(SEARCH($A5,INDEX(Index_CT!$D$2:$D$36,MATCH(AG$3,Index_CT!$A$2:$A$36,0)))),"X","")</f>
        <v/>
      </c>
      <c r="AH5" s="39" t="str">
        <f>IF(ISNUMBER(SEARCH($A5,INDEX(Index_CT!$D$2:$D$36,MATCH(AH$3,Index_CT!$A$2:$A$36,0)))),"X","")</f>
        <v/>
      </c>
      <c r="AI5" s="39" t="str">
        <f>IF(ISNUMBER(SEARCH($A5,INDEX(Index_CT!$D$2:$D$36,MATCH(AI$3,Index_CT!$A$2:$A$36,0)))),"X","")</f>
        <v/>
      </c>
      <c r="AJ5" s="39" t="str">
        <f>IF(ISNUMBER(SEARCH($A5,INDEX(Index_CT!$D$2:$D$36,MATCH(AJ$3,Index_CT!$A$2:$A$36,0)))),"X","")</f>
        <v/>
      </c>
      <c r="AK5" s="39" t="str">
        <f>IF(ISNUMBER(SEARCH($A5,INDEX(Index_CT!$D$2:$D$36,MATCH(AK$3,Index_CT!$A$2:$A$36,0)))),"X","")</f>
        <v/>
      </c>
      <c r="AL5" s="39" t="str">
        <f>IF(ISNUMBER(SEARCH($A5,INDEX(Index_CT!$D$2:$D$36,MATCH(AL$3,Index_CT!$A$2:$A$36,0)))),"X","")</f>
        <v/>
      </c>
      <c r="AM5" s="39" t="str">
        <f>IF(ISNUMBER(SEARCH($A5,INDEX(Index_CT!$D$2:$D$36,MATCH(AM$3,Index_CT!$A$2:$A$36,0)))),"X","")</f>
        <v/>
      </c>
      <c r="AN5" s="39" t="str">
        <f>IF(ISNUMBER(SEARCH($A5,INDEX(Index_CT!$D$2:$D$36,MATCH(AN$3,Index_CT!$A$2:$A$36,0)))),"X","")</f>
        <v/>
      </c>
      <c r="AO5" s="39" t="str">
        <f>IF(ISNUMBER(SEARCH($A5,INDEX(Index_CT!$D$2:$D$36,MATCH(AO$3,Index_CT!$A$2:$A$36,0)))),"X","")</f>
        <v/>
      </c>
      <c r="AP5" s="39" t="str">
        <f>IF(ISNUMBER(SEARCH($A5,INDEX(Index_CT!$D$2:$D$36,MATCH(AP$3,Index_CT!$A$2:$A$36,0)))),"X","")</f>
        <v/>
      </c>
      <c r="AQ5" s="39" t="str">
        <f>IF(ISNUMBER(SEARCH($A5,INDEX(Index_CT!$D$2:$D$36,MATCH(AQ$3,Index_CT!$A$2:$A$36,0)))),"X","")</f>
        <v/>
      </c>
      <c r="AR5" s="39" t="str">
        <f>IF(ISNUMBER(SEARCH($A5,INDEX(Index_CT!$D$2:$D$36,MATCH(AR$3,Index_CT!$A$2:$A$36,0)))),"X","")</f>
        <v/>
      </c>
      <c r="AS5" s="39" t="str">
        <f>IF(ISNUMBER(SEARCH($A5,INDEX(Index_CT!$D$2:$D$36,MATCH(AS$3,Index_CT!$A$2:$A$36,0)))),"X","")</f>
        <v/>
      </c>
      <c r="AT5" s="39" t="str">
        <f>IF(ISNUMBER(SEARCH($A5,INDEX(Index_CT!$D$2:$D$36,MATCH(AT$3,Index_CT!$A$2:$A$36,0)))),"X","")</f>
        <v/>
      </c>
      <c r="AU5" s="39" t="str">
        <f>IF(ISNUMBER(SEARCH($A5,INDEX(Index_CT!$D$2:$D$36,MATCH(AU$3,Index_CT!$A$2:$A$36,0)))),"X","")</f>
        <v/>
      </c>
      <c r="AV5" s="39" t="str">
        <f>IF(ISNUMBER(SEARCH($A5,INDEX(Index_CT!$D$2:$D$36,MATCH(AV$3,Index_CT!$A$2:$A$36,0)))),"X","")</f>
        <v/>
      </c>
      <c r="AW5" s="39" t="str">
        <f>IF(ISNUMBER(SEARCH($A5,INDEX(Index_CT!$D$2:$D$36,MATCH(AW$3,Index_CT!$A$2:$A$36,0)))),"X","")</f>
        <v/>
      </c>
      <c r="AX5" s="39" t="str">
        <f>IF(ISNUMBER(SEARCH($A5,INDEX(Index_CT!$D$2:$D$36,MATCH(AX$3,Index_CT!$A$2:$A$36,0)))),"X","")</f>
        <v/>
      </c>
      <c r="AY5" s="39" t="str">
        <f>IF(ISNUMBER(SEARCH($A5,INDEX(Index_CT!$D$2:$D$36,MATCH(AY$3,Index_CT!$A$2:$A$36,0)))),"X","")</f>
        <v/>
      </c>
      <c r="AZ5" s="39" t="str">
        <f>IF(ISNUMBER(SEARCH($A5,INDEX(Index_CT!$D$2:$D$36,MATCH(AZ$3,Index_CT!$A$2:$A$36,0)))),"X","")</f>
        <v/>
      </c>
      <c r="BA5" s="39" t="str">
        <f>IF(ISNUMBER(SEARCH($A5,INDEX(Index_CT!$D$2:$D$36,MATCH(BA$3,Index_CT!$A$2:$A$36,0)))),"X","")</f>
        <v/>
      </c>
      <c r="BB5" s="39" t="str">
        <f>IF(ISNUMBER(SEARCH($A5,INDEX(Index_CT!$D$2:$D$36,MATCH(BB$3,Index_CT!$A$2:$A$36,0)))),"X","")</f>
        <v/>
      </c>
      <c r="BC5" s="39" t="str">
        <f>IF(ISNUMBER(SEARCH($A5,INDEX(Index_CT!$D$2:$D$36,MATCH(BC$3,Index_CT!$A$2:$A$36,0)))),"X","")</f>
        <v/>
      </c>
      <c r="BD5" s="39" t="str">
        <f>IF(ISNUMBER(SEARCH($A5,INDEX(Index_CT!$D$2:$D$36,MATCH(BD$3,Index_CT!$A$2:$A$36,0)))),"X","")</f>
        <v/>
      </c>
      <c r="BE5" s="39" t="str">
        <f>IF(ISNUMBER(SEARCH($A5,INDEX(Index_CT!$D$2:$D$36,MATCH(BE$3,Index_CT!$A$2:$A$36,0)))),"X","")</f>
        <v/>
      </c>
      <c r="BF5" s="39" t="str">
        <f>IF(ISNUMBER(SEARCH($A5,INDEX(Index_CT!$D$2:$D$36,MATCH(BF$3,Index_CT!$A$2:$A$36,0)))),"X","")</f>
        <v/>
      </c>
      <c r="BG5" s="39" t="str">
        <f>IF(ISNUMBER(SEARCH($A5,INDEX(Index_CT!$D$2:$D$36,MATCH(BG$3,Index_CT!$A$2:$A$36,0)))),"X","")</f>
        <v/>
      </c>
      <c r="BH5" s="39" t="str">
        <f>IF(ISNUMBER(SEARCH($A5,INDEX(Index_CT!$D$2:$D$36,MATCH(BH$3,Index_CT!$A$2:$A$36,0)))),"X","")</f>
        <v/>
      </c>
      <c r="BI5" s="39" t="str">
        <f>IF(ISNUMBER(SEARCH($A5,INDEX(Index_CT!$D$2:$D$36,MATCH(BI$3,Index_CT!$A$2:$A$36,0)))),"X","")</f>
        <v/>
      </c>
      <c r="BJ5" s="39" t="str">
        <f>IF(ISNUMBER(SEARCH($A5,INDEX(Index_CT!$D$2:$D$36,MATCH(BJ$3,Index_CT!$A$2:$A$36,0)))),"X","")</f>
        <v/>
      </c>
      <c r="BK5" s="39" t="str">
        <f>IF(ISNUMBER(SEARCH($A5,INDEX(Index_CT!$D$2:$D$36,MATCH(BK$3,Index_CT!$A$2:$A$36,0)))),"X","")</f>
        <v/>
      </c>
      <c r="BL5" s="39" t="str">
        <f>IF(ISNUMBER(SEARCH($A5,INDEX(Index_CT!$D$2:$D$36,MATCH(BL$3,Index_CT!$A$2:$A$36,0)))),"X","")</f>
        <v/>
      </c>
      <c r="BM5" s="39" t="str">
        <f>IF(ISNUMBER(SEARCH($A5,INDEX(Index_CT!$D$2:$D$36,MATCH(BM$3,Index_CT!$A$2:$A$36,0)))),"X","")</f>
        <v/>
      </c>
      <c r="BN5" s="39" t="str">
        <f>IF(ISNUMBER(SEARCH($A5,INDEX(Index_CT!$D$2:$D$36,MATCH(BN$3,Index_CT!$A$2:$A$36,0)))),"X","")</f>
        <v/>
      </c>
      <c r="BO5" s="39" t="str">
        <f>IF(ISNUMBER(SEARCH($A5,INDEX(Index_CT!$D$2:$D$36,MATCH(BO$3,Index_CT!$A$2:$A$36,0)))),"X","")</f>
        <v/>
      </c>
      <c r="BP5" s="39" t="str">
        <f>IF(ISNUMBER(SEARCH($A5,INDEX(Index_CT!$D$2:$D$36,MATCH(BP$3,Index_CT!$A$2:$A$36,0)))),"X","")</f>
        <v/>
      </c>
      <c r="BQ5" s="39" t="str">
        <f>IF(ISNUMBER(SEARCH($A5,INDEX(Index_CT!$D$2:$D$36,MATCH(BQ$3,Index_CT!$A$2:$A$36,0)))),"X","")</f>
        <v/>
      </c>
      <c r="BR5" s="39" t="str">
        <f>IF(ISNUMBER(SEARCH($A5,INDEX(Index_CT!$D$2:$D$36,MATCH(BR$3,Index_CT!$A$2:$A$36,0)))),"X","")</f>
        <v/>
      </c>
    </row>
    <row r="6" spans="1:70" x14ac:dyDescent="0.25">
      <c r="A6" s="33" t="s">
        <v>92</v>
      </c>
      <c r="B6" s="34" t="s">
        <v>485</v>
      </c>
      <c r="C6" s="33" t="s">
        <v>53</v>
      </c>
      <c r="D6" s="33">
        <f t="shared" si="0"/>
        <v>3</v>
      </c>
      <c r="E6" s="39" t="str">
        <f>IF(ISNUMBER(SEARCH($A6,INDEX(Index_CT!$D$2:$D$36,MATCH(E$3,Index_CT!$A$2:$A$36,0)))),"X","")</f>
        <v/>
      </c>
      <c r="F6" s="39" t="str">
        <f>IF(ISNUMBER(SEARCH($A6,INDEX(Index_CT!$D$2:$D$36,MATCH(F$3,Index_CT!$A$2:$A$36,0)))),"X","")</f>
        <v/>
      </c>
      <c r="G6" s="39" t="str">
        <f>IF(ISNUMBER(SEARCH($A6,INDEX(Index_CT!$D$2:$D$36,MATCH(G$3,Index_CT!$A$2:$A$36,0)))),"X","")</f>
        <v/>
      </c>
      <c r="H6" s="39" t="str">
        <f>IF(ISNUMBER(SEARCH($A6,INDEX(Index_CT!$D$2:$D$36,MATCH(H$3,Index_CT!$A$2:$A$36,0)))),"X","")</f>
        <v/>
      </c>
      <c r="I6" s="39" t="str">
        <f>IF(ISNUMBER(SEARCH($A6,INDEX(Index_CT!$D$2:$D$36,MATCH(I$3,Index_CT!$A$2:$A$36,0)))),"X","")</f>
        <v>X</v>
      </c>
      <c r="J6" s="39" t="str">
        <f>IF(ISNUMBER(SEARCH($A6,INDEX(Index_CT!$D$2:$D$36,MATCH(J$3,Index_CT!$A$2:$A$36,0)))),"X","")</f>
        <v>X</v>
      </c>
      <c r="K6" s="39" t="str">
        <f>IF(ISNUMBER(SEARCH($A6,INDEX(Index_CT!$D$2:$D$36,MATCH(K$3,Index_CT!$A$2:$A$36,0)))),"X","")</f>
        <v>X</v>
      </c>
      <c r="L6" s="39" t="str">
        <f>IF(ISNUMBER(SEARCH($A6,INDEX(Index_CT!$D$2:$D$36,MATCH(L$3,Index_CT!$A$2:$A$36,0)))),"X","")</f>
        <v/>
      </c>
      <c r="M6" s="39" t="str">
        <f>IF(ISNUMBER(SEARCH($A6,INDEX(Index_CT!$D$2:$D$36,MATCH(M$3,Index_CT!$A$2:$A$36,0)))),"X","")</f>
        <v/>
      </c>
      <c r="N6" s="39" t="str">
        <f>IF(ISNUMBER(SEARCH($A6,INDEX(Index_CT!$D$2:$D$36,MATCH(N$3,Index_CT!$A$2:$A$36,0)))),"X","")</f>
        <v/>
      </c>
      <c r="O6" s="39" t="str">
        <f>IF(ISNUMBER(SEARCH($A6,INDEX(Index_CT!$D$2:$D$36,MATCH(O$3,Index_CT!$A$2:$A$36,0)))),"X","")</f>
        <v/>
      </c>
      <c r="P6" s="39" t="str">
        <f>IF(ISNUMBER(SEARCH($A6,INDEX(Index_CT!$D$2:$D$36,MATCH(P$3,Index_CT!$A$2:$A$36,0)))),"X","")</f>
        <v/>
      </c>
      <c r="Q6" s="39" t="str">
        <f>IF(ISNUMBER(SEARCH($A6,INDEX(Index_CT!$D$2:$D$36,MATCH(Q$3,Index_CT!$A$2:$A$36,0)))),"X","")</f>
        <v/>
      </c>
      <c r="R6" s="39" t="str">
        <f>IF(ISNUMBER(SEARCH($A6,INDEX(Index_CT!$D$2:$D$36,MATCH(R$3,Index_CT!$A$2:$A$36,0)))),"X","")</f>
        <v/>
      </c>
      <c r="S6" s="39" t="str">
        <f>IF(ISNUMBER(SEARCH($A6,INDEX(Index_CT!$D$2:$D$36,MATCH(S$3,Index_CT!$A$2:$A$36,0)))),"X","")</f>
        <v/>
      </c>
      <c r="T6" s="39" t="str">
        <f>IF(ISNUMBER(SEARCH($A6,INDEX(Index_CT!$D$2:$D$36,MATCH(T$3,Index_CT!$A$2:$A$36,0)))),"X","")</f>
        <v/>
      </c>
      <c r="U6" s="39" t="str">
        <f>IF(ISNUMBER(SEARCH($A6,INDEX(Index_CT!$D$2:$D$36,MATCH(U$3,Index_CT!$A$2:$A$36,0)))),"X","")</f>
        <v/>
      </c>
      <c r="V6" s="39" t="str">
        <f>IF(ISNUMBER(SEARCH($A6,INDEX(Index_CT!$D$2:$D$36,MATCH(V$3,Index_CT!$A$2:$A$36,0)))),"X","")</f>
        <v/>
      </c>
      <c r="W6" s="39" t="str">
        <f>IF(ISNUMBER(SEARCH($A6,INDEX(Index_CT!$D$2:$D$36,MATCH(W$3,Index_CT!$A$2:$A$36,0)))),"X","")</f>
        <v/>
      </c>
      <c r="X6" s="39" t="str">
        <f>IF(ISNUMBER(SEARCH($A6,INDEX(Index_CT!$D$2:$D$36,MATCH(X$3,Index_CT!$A$2:$A$36,0)))),"X","")</f>
        <v/>
      </c>
      <c r="Y6" s="39" t="str">
        <f>IF(ISNUMBER(SEARCH($A6,INDEX(Index_CT!$D$2:$D$36,MATCH(Y$3,Index_CT!$A$2:$A$36,0)))),"X","")</f>
        <v/>
      </c>
      <c r="Z6" s="39" t="str">
        <f>IF(ISNUMBER(SEARCH($A6,INDEX(Index_CT!$D$2:$D$36,MATCH(Z$3,Index_CT!$A$2:$A$36,0)))),"X","")</f>
        <v/>
      </c>
      <c r="AA6" s="39" t="str">
        <f>IF(ISNUMBER(SEARCH($A6,INDEX(Index_CT!$D$2:$D$36,MATCH(AA$3,Index_CT!$A$2:$A$36,0)))),"X","")</f>
        <v/>
      </c>
      <c r="AB6" s="39" t="str">
        <f>IF(ISNUMBER(SEARCH($A6,INDEX(Index_CT!$D$2:$D$36,MATCH(AB$3,Index_CT!$A$2:$A$36,0)))),"X","")</f>
        <v/>
      </c>
      <c r="AC6" s="39" t="str">
        <f>IF(ISNUMBER(SEARCH($A6,INDEX(Index_CT!$D$2:$D$36,MATCH(AC$3,Index_CT!$A$2:$A$36,0)))),"X","")</f>
        <v/>
      </c>
      <c r="AD6" s="39" t="str">
        <f>IF(ISNUMBER(SEARCH($A6,INDEX(Index_CT!$D$2:$D$36,MATCH(AD$3,Index_CT!$A$2:$A$36,0)))),"X","")</f>
        <v/>
      </c>
      <c r="AE6" s="39" t="str">
        <f>IF(ISNUMBER(SEARCH($A6,INDEX(Index_CT!$D$2:$D$36,MATCH(AE$3,Index_CT!$A$2:$A$36,0)))),"X","")</f>
        <v/>
      </c>
      <c r="AF6" s="39" t="str">
        <f>IF(ISNUMBER(SEARCH($A6,INDEX(Index_CT!$D$2:$D$36,MATCH(AF$3,Index_CT!$A$2:$A$36,0)))),"X","")</f>
        <v/>
      </c>
      <c r="AG6" s="39" t="str">
        <f>IF(ISNUMBER(SEARCH($A6,INDEX(Index_CT!$D$2:$D$36,MATCH(AG$3,Index_CT!$A$2:$A$36,0)))),"X","")</f>
        <v/>
      </c>
      <c r="AH6" s="39" t="str">
        <f>IF(ISNUMBER(SEARCH($A6,INDEX(Index_CT!$D$2:$D$36,MATCH(AH$3,Index_CT!$A$2:$A$36,0)))),"X","")</f>
        <v/>
      </c>
      <c r="AI6" s="39" t="str">
        <f>IF(ISNUMBER(SEARCH($A6,INDEX(Index_CT!$D$2:$D$36,MATCH(AI$3,Index_CT!$A$2:$A$36,0)))),"X","")</f>
        <v/>
      </c>
      <c r="AJ6" s="39" t="str">
        <f>IF(ISNUMBER(SEARCH($A6,INDEX(Index_CT!$D$2:$D$36,MATCH(AJ$3,Index_CT!$A$2:$A$36,0)))),"X","")</f>
        <v/>
      </c>
      <c r="AK6" s="39" t="str">
        <f>IF(ISNUMBER(SEARCH($A6,INDEX(Index_CT!$D$2:$D$36,MATCH(AK$3,Index_CT!$A$2:$A$36,0)))),"X","")</f>
        <v/>
      </c>
      <c r="AL6" s="39" t="str">
        <f>IF(ISNUMBER(SEARCH($A6,INDEX(Index_CT!$D$2:$D$36,MATCH(AL$3,Index_CT!$A$2:$A$36,0)))),"X","")</f>
        <v/>
      </c>
      <c r="AM6" s="39" t="str">
        <f>IF(ISNUMBER(SEARCH($A6,INDEX(Index_CT!$D$2:$D$36,MATCH(AM$3,Index_CT!$A$2:$A$36,0)))),"X","")</f>
        <v/>
      </c>
      <c r="AN6" s="39" t="str">
        <f>IF(ISNUMBER(SEARCH($A6,INDEX(Index_CT!$D$2:$D$36,MATCH(AN$3,Index_CT!$A$2:$A$36,0)))),"X","")</f>
        <v/>
      </c>
      <c r="AO6" s="39" t="str">
        <f>IF(ISNUMBER(SEARCH($A6,INDEX(Index_CT!$D$2:$D$36,MATCH(AO$3,Index_CT!$A$2:$A$36,0)))),"X","")</f>
        <v/>
      </c>
      <c r="AP6" s="39" t="str">
        <f>IF(ISNUMBER(SEARCH($A6,INDEX(Index_CT!$D$2:$D$36,MATCH(AP$3,Index_CT!$A$2:$A$36,0)))),"X","")</f>
        <v/>
      </c>
      <c r="AQ6" s="39" t="str">
        <f>IF(ISNUMBER(SEARCH($A6,INDEX(Index_CT!$D$2:$D$36,MATCH(AQ$3,Index_CT!$A$2:$A$36,0)))),"X","")</f>
        <v/>
      </c>
      <c r="AR6" s="39" t="str">
        <f>IF(ISNUMBER(SEARCH($A6,INDEX(Index_CT!$D$2:$D$36,MATCH(AR$3,Index_CT!$A$2:$A$36,0)))),"X","")</f>
        <v/>
      </c>
      <c r="AS6" s="39" t="str">
        <f>IF(ISNUMBER(SEARCH($A6,INDEX(Index_CT!$D$2:$D$36,MATCH(AS$3,Index_CT!$A$2:$A$36,0)))),"X","")</f>
        <v/>
      </c>
      <c r="AT6" s="39" t="str">
        <f>IF(ISNUMBER(SEARCH($A6,INDEX(Index_CT!$D$2:$D$36,MATCH(AT$3,Index_CT!$A$2:$A$36,0)))),"X","")</f>
        <v/>
      </c>
      <c r="AU6" s="39" t="str">
        <f>IF(ISNUMBER(SEARCH($A6,INDEX(Index_CT!$D$2:$D$36,MATCH(AU$3,Index_CT!$A$2:$A$36,0)))),"X","")</f>
        <v/>
      </c>
      <c r="AV6" s="39" t="str">
        <f>IF(ISNUMBER(SEARCH($A6,INDEX(Index_CT!$D$2:$D$36,MATCH(AV$3,Index_CT!$A$2:$A$36,0)))),"X","")</f>
        <v/>
      </c>
      <c r="AW6" s="39" t="str">
        <f>IF(ISNUMBER(SEARCH($A6,INDEX(Index_CT!$D$2:$D$36,MATCH(AW$3,Index_CT!$A$2:$A$36,0)))),"X","")</f>
        <v/>
      </c>
      <c r="AX6" s="39" t="str">
        <f>IF(ISNUMBER(SEARCH($A6,INDEX(Index_CT!$D$2:$D$36,MATCH(AX$3,Index_CT!$A$2:$A$36,0)))),"X","")</f>
        <v/>
      </c>
      <c r="AY6" s="39" t="str">
        <f>IF(ISNUMBER(SEARCH($A6,INDEX(Index_CT!$D$2:$D$36,MATCH(AY$3,Index_CT!$A$2:$A$36,0)))),"X","")</f>
        <v/>
      </c>
      <c r="AZ6" s="39" t="str">
        <f>IF(ISNUMBER(SEARCH($A6,INDEX(Index_CT!$D$2:$D$36,MATCH(AZ$3,Index_CT!$A$2:$A$36,0)))),"X","")</f>
        <v/>
      </c>
      <c r="BA6" s="39" t="str">
        <f>IF(ISNUMBER(SEARCH($A6,INDEX(Index_CT!$D$2:$D$36,MATCH(BA$3,Index_CT!$A$2:$A$36,0)))),"X","")</f>
        <v/>
      </c>
      <c r="BB6" s="39" t="str">
        <f>IF(ISNUMBER(SEARCH($A6,INDEX(Index_CT!$D$2:$D$36,MATCH(BB$3,Index_CT!$A$2:$A$36,0)))),"X","")</f>
        <v/>
      </c>
      <c r="BC6" s="39" t="str">
        <f>IF(ISNUMBER(SEARCH($A6,INDEX(Index_CT!$D$2:$D$36,MATCH(BC$3,Index_CT!$A$2:$A$36,0)))),"X","")</f>
        <v/>
      </c>
      <c r="BD6" s="39" t="str">
        <f>IF(ISNUMBER(SEARCH($A6,INDEX(Index_CT!$D$2:$D$36,MATCH(BD$3,Index_CT!$A$2:$A$36,0)))),"X","")</f>
        <v/>
      </c>
      <c r="BE6" s="39" t="str">
        <f>IF(ISNUMBER(SEARCH($A6,INDEX(Index_CT!$D$2:$D$36,MATCH(BE$3,Index_CT!$A$2:$A$36,0)))),"X","")</f>
        <v/>
      </c>
      <c r="BF6" s="39" t="str">
        <f>IF(ISNUMBER(SEARCH($A6,INDEX(Index_CT!$D$2:$D$36,MATCH(BF$3,Index_CT!$A$2:$A$36,0)))),"X","")</f>
        <v/>
      </c>
      <c r="BG6" s="39" t="str">
        <f>IF(ISNUMBER(SEARCH($A6,INDEX(Index_CT!$D$2:$D$36,MATCH(BG$3,Index_CT!$A$2:$A$36,0)))),"X","")</f>
        <v/>
      </c>
      <c r="BH6" s="39" t="str">
        <f>IF(ISNUMBER(SEARCH($A6,INDEX(Index_CT!$D$2:$D$36,MATCH(BH$3,Index_CT!$A$2:$A$36,0)))),"X","")</f>
        <v/>
      </c>
      <c r="BI6" s="39" t="str">
        <f>IF(ISNUMBER(SEARCH($A6,INDEX(Index_CT!$D$2:$D$36,MATCH(BI$3,Index_CT!$A$2:$A$36,0)))),"X","")</f>
        <v/>
      </c>
      <c r="BJ6" s="39" t="str">
        <f>IF(ISNUMBER(SEARCH($A6,INDEX(Index_CT!$D$2:$D$36,MATCH(BJ$3,Index_CT!$A$2:$A$36,0)))),"X","")</f>
        <v/>
      </c>
      <c r="BK6" s="39" t="str">
        <f>IF(ISNUMBER(SEARCH($A6,INDEX(Index_CT!$D$2:$D$36,MATCH(BK$3,Index_CT!$A$2:$A$36,0)))),"X","")</f>
        <v/>
      </c>
      <c r="BL6" s="39" t="str">
        <f>IF(ISNUMBER(SEARCH($A6,INDEX(Index_CT!$D$2:$D$36,MATCH(BL$3,Index_CT!$A$2:$A$36,0)))),"X","")</f>
        <v/>
      </c>
      <c r="BM6" s="39" t="str">
        <f>IF(ISNUMBER(SEARCH($A6,INDEX(Index_CT!$D$2:$D$36,MATCH(BM$3,Index_CT!$A$2:$A$36,0)))),"X","")</f>
        <v/>
      </c>
      <c r="BN6" s="39" t="str">
        <f>IF(ISNUMBER(SEARCH($A6,INDEX(Index_CT!$D$2:$D$36,MATCH(BN$3,Index_CT!$A$2:$A$36,0)))),"X","")</f>
        <v/>
      </c>
      <c r="BO6" s="39" t="str">
        <f>IF(ISNUMBER(SEARCH($A6,INDEX(Index_CT!$D$2:$D$36,MATCH(BO$3,Index_CT!$A$2:$A$36,0)))),"X","")</f>
        <v/>
      </c>
      <c r="BP6" s="39" t="str">
        <f>IF(ISNUMBER(SEARCH($A6,INDEX(Index_CT!$D$2:$D$36,MATCH(BP$3,Index_CT!$A$2:$A$36,0)))),"X","")</f>
        <v/>
      </c>
      <c r="BQ6" s="39" t="str">
        <f>IF(ISNUMBER(SEARCH($A6,INDEX(Index_CT!$D$2:$D$36,MATCH(BQ$3,Index_CT!$A$2:$A$36,0)))),"X","")</f>
        <v/>
      </c>
      <c r="BR6" s="39" t="str">
        <f>IF(ISNUMBER(SEARCH($A6,INDEX(Index_CT!$D$2:$D$36,MATCH(BR$3,Index_CT!$A$2:$A$36,0)))),"X","")</f>
        <v/>
      </c>
    </row>
    <row r="7" spans="1:70" ht="26.25" customHeight="1" x14ac:dyDescent="0.25">
      <c r="A7" s="33" t="s">
        <v>488</v>
      </c>
      <c r="B7" s="34" t="s">
        <v>489</v>
      </c>
      <c r="C7" s="33" t="s">
        <v>83</v>
      </c>
      <c r="D7" s="33">
        <f t="shared" si="0"/>
        <v>1</v>
      </c>
      <c r="E7" s="39" t="str">
        <f>IF(ISNUMBER(SEARCH($A7,INDEX(Index_CT!$D$2:$D$36,MATCH(E$3,Index_CT!$A$2:$A$36,0)))),"X","")</f>
        <v>X</v>
      </c>
      <c r="F7" s="39" t="str">
        <f>IF(ISNUMBER(SEARCH($A7,INDEX(Index_CT!$D$2:$D$36,MATCH(F$3,Index_CT!$A$2:$A$36,0)))),"X","")</f>
        <v/>
      </c>
      <c r="G7" s="39" t="str">
        <f>IF(ISNUMBER(SEARCH($A7,INDEX(Index_CT!$D$2:$D$36,MATCH(G$3,Index_CT!$A$2:$A$36,0)))),"X","")</f>
        <v/>
      </c>
      <c r="H7" s="39" t="str">
        <f>IF(ISNUMBER(SEARCH($A7,INDEX(Index_CT!$D$2:$D$36,MATCH(H$3,Index_CT!$A$2:$A$36,0)))),"X","")</f>
        <v/>
      </c>
      <c r="I7" s="39" t="str">
        <f>IF(ISNUMBER(SEARCH($A7,INDEX(Index_CT!$D$2:$D$36,MATCH(I$3,Index_CT!$A$2:$A$36,0)))),"X","")</f>
        <v/>
      </c>
      <c r="J7" s="39" t="str">
        <f>IF(ISNUMBER(SEARCH($A7,INDEX(Index_CT!$D$2:$D$36,MATCH(J$3,Index_CT!$A$2:$A$36,0)))),"X","")</f>
        <v/>
      </c>
      <c r="K7" s="39" t="str">
        <f>IF(ISNUMBER(SEARCH($A7,INDEX(Index_CT!$D$2:$D$36,MATCH(K$3,Index_CT!$A$2:$A$36,0)))),"X","")</f>
        <v/>
      </c>
      <c r="L7" s="39" t="str">
        <f>IF(ISNUMBER(SEARCH($A7,INDEX(Index_CT!$D$2:$D$36,MATCH(L$3,Index_CT!$A$2:$A$36,0)))),"X","")</f>
        <v/>
      </c>
      <c r="M7" s="39" t="str">
        <f>IF(ISNUMBER(SEARCH($A7,INDEX(Index_CT!$D$2:$D$36,MATCH(M$3,Index_CT!$A$2:$A$36,0)))),"X","")</f>
        <v/>
      </c>
      <c r="N7" s="39" t="str">
        <f>IF(ISNUMBER(SEARCH($A7,INDEX(Index_CT!$D$2:$D$36,MATCH(N$3,Index_CT!$A$2:$A$36,0)))),"X","")</f>
        <v/>
      </c>
      <c r="O7" s="39" t="str">
        <f>IF(ISNUMBER(SEARCH($A7,INDEX(Index_CT!$D$2:$D$36,MATCH(O$3,Index_CT!$A$2:$A$36,0)))),"X","")</f>
        <v/>
      </c>
      <c r="P7" s="39" t="str">
        <f>IF(ISNUMBER(SEARCH($A7,INDEX(Index_CT!$D$2:$D$36,MATCH(P$3,Index_CT!$A$2:$A$36,0)))),"X","")</f>
        <v/>
      </c>
      <c r="Q7" s="39" t="str">
        <f>IF(ISNUMBER(SEARCH($A7,INDEX(Index_CT!$D$2:$D$36,MATCH(Q$3,Index_CT!$A$2:$A$36,0)))),"X","")</f>
        <v/>
      </c>
      <c r="R7" s="39" t="str">
        <f>IF(ISNUMBER(SEARCH($A7,INDEX(Index_CT!$D$2:$D$36,MATCH(R$3,Index_CT!$A$2:$A$36,0)))),"X","")</f>
        <v/>
      </c>
      <c r="S7" s="39" t="str">
        <f>IF(ISNUMBER(SEARCH($A7,INDEX(Index_CT!$D$2:$D$36,MATCH(S$3,Index_CT!$A$2:$A$36,0)))),"X","")</f>
        <v/>
      </c>
      <c r="T7" s="39" t="str">
        <f>IF(ISNUMBER(SEARCH($A7,INDEX(Index_CT!$D$2:$D$36,MATCH(T$3,Index_CT!$A$2:$A$36,0)))),"X","")</f>
        <v/>
      </c>
      <c r="U7" s="39" t="str">
        <f>IF(ISNUMBER(SEARCH($A7,INDEX(Index_CT!$D$2:$D$36,MATCH(U$3,Index_CT!$A$2:$A$36,0)))),"X","")</f>
        <v/>
      </c>
      <c r="V7" s="39" t="str">
        <f>IF(ISNUMBER(SEARCH($A7,INDEX(Index_CT!$D$2:$D$36,MATCH(V$3,Index_CT!$A$2:$A$36,0)))),"X","")</f>
        <v/>
      </c>
      <c r="W7" s="39" t="str">
        <f>IF(ISNUMBER(SEARCH($A7,INDEX(Index_CT!$D$2:$D$36,MATCH(W$3,Index_CT!$A$2:$A$36,0)))),"X","")</f>
        <v/>
      </c>
      <c r="X7" s="39" t="str">
        <f>IF(ISNUMBER(SEARCH($A7,INDEX(Index_CT!$D$2:$D$36,MATCH(X$3,Index_CT!$A$2:$A$36,0)))),"X","")</f>
        <v/>
      </c>
      <c r="Y7" s="39" t="str">
        <f>IF(ISNUMBER(SEARCH($A7,INDEX(Index_CT!$D$2:$D$36,MATCH(Y$3,Index_CT!$A$2:$A$36,0)))),"X","")</f>
        <v/>
      </c>
      <c r="Z7" s="39" t="str">
        <f>IF(ISNUMBER(SEARCH($A7,INDEX(Index_CT!$D$2:$D$36,MATCH(Z$3,Index_CT!$A$2:$A$36,0)))),"X","")</f>
        <v/>
      </c>
      <c r="AA7" s="39" t="str">
        <f>IF(ISNUMBER(SEARCH($A7,INDEX(Index_CT!$D$2:$D$36,MATCH(AA$3,Index_CT!$A$2:$A$36,0)))),"X","")</f>
        <v/>
      </c>
      <c r="AB7" s="39" t="str">
        <f>IF(ISNUMBER(SEARCH($A7,INDEX(Index_CT!$D$2:$D$36,MATCH(AB$3,Index_CT!$A$2:$A$36,0)))),"X","")</f>
        <v/>
      </c>
      <c r="AC7" s="39" t="str">
        <f>IF(ISNUMBER(SEARCH($A7,INDEX(Index_CT!$D$2:$D$36,MATCH(AC$3,Index_CT!$A$2:$A$36,0)))),"X","")</f>
        <v/>
      </c>
      <c r="AD7" s="39" t="str">
        <f>IF(ISNUMBER(SEARCH($A7,INDEX(Index_CT!$D$2:$D$36,MATCH(AD$3,Index_CT!$A$2:$A$36,0)))),"X","")</f>
        <v/>
      </c>
      <c r="AE7" s="39" t="str">
        <f>IF(ISNUMBER(SEARCH($A7,INDEX(Index_CT!$D$2:$D$36,MATCH(AE$3,Index_CT!$A$2:$A$36,0)))),"X","")</f>
        <v/>
      </c>
      <c r="AF7" s="39" t="str">
        <f>IF(ISNUMBER(SEARCH($A7,INDEX(Index_CT!$D$2:$D$36,MATCH(AF$3,Index_CT!$A$2:$A$36,0)))),"X","")</f>
        <v/>
      </c>
      <c r="AG7" s="39" t="str">
        <f>IF(ISNUMBER(SEARCH($A7,INDEX(Index_CT!$D$2:$D$36,MATCH(AG$3,Index_CT!$A$2:$A$36,0)))),"X","")</f>
        <v/>
      </c>
      <c r="AH7" s="39" t="str">
        <f>IF(ISNUMBER(SEARCH($A7,INDEX(Index_CT!$D$2:$D$36,MATCH(AH$3,Index_CT!$A$2:$A$36,0)))),"X","")</f>
        <v/>
      </c>
      <c r="AI7" s="39" t="str">
        <f>IF(ISNUMBER(SEARCH($A7,INDEX(Index_CT!$D$2:$D$36,MATCH(AI$3,Index_CT!$A$2:$A$36,0)))),"X","")</f>
        <v/>
      </c>
      <c r="AJ7" s="39" t="str">
        <f>IF(ISNUMBER(SEARCH($A7,INDEX(Index_CT!$D$2:$D$36,MATCH(AJ$3,Index_CT!$A$2:$A$36,0)))),"X","")</f>
        <v/>
      </c>
      <c r="AK7" s="39" t="str">
        <f>IF(ISNUMBER(SEARCH($A7,INDEX(Index_CT!$D$2:$D$36,MATCH(AK$3,Index_CT!$A$2:$A$36,0)))),"X","")</f>
        <v/>
      </c>
      <c r="AL7" s="39" t="str">
        <f>IF(ISNUMBER(SEARCH($A7,INDEX(Index_CT!$D$2:$D$36,MATCH(AL$3,Index_CT!$A$2:$A$36,0)))),"X","")</f>
        <v/>
      </c>
      <c r="AM7" s="39" t="str">
        <f>IF(ISNUMBER(SEARCH($A7,INDEX(Index_CT!$D$2:$D$36,MATCH(AM$3,Index_CT!$A$2:$A$36,0)))),"X","")</f>
        <v/>
      </c>
      <c r="AN7" s="39" t="str">
        <f>IF(ISNUMBER(SEARCH($A7,INDEX(Index_CT!$D$2:$D$36,MATCH(AN$3,Index_CT!$A$2:$A$36,0)))),"X","")</f>
        <v/>
      </c>
      <c r="AO7" s="39" t="str">
        <f>IF(ISNUMBER(SEARCH($A7,INDEX(Index_CT!$D$2:$D$36,MATCH(AO$3,Index_CT!$A$2:$A$36,0)))),"X","")</f>
        <v/>
      </c>
      <c r="AP7" s="39" t="str">
        <f>IF(ISNUMBER(SEARCH($A7,INDEX(Index_CT!$D$2:$D$36,MATCH(AP$3,Index_CT!$A$2:$A$36,0)))),"X","")</f>
        <v/>
      </c>
      <c r="AQ7" s="39" t="str">
        <f>IF(ISNUMBER(SEARCH($A7,INDEX(Index_CT!$D$2:$D$36,MATCH(AQ$3,Index_CT!$A$2:$A$36,0)))),"X","")</f>
        <v/>
      </c>
      <c r="AR7" s="39" t="str">
        <f>IF(ISNUMBER(SEARCH($A7,INDEX(Index_CT!$D$2:$D$36,MATCH(AR$3,Index_CT!$A$2:$A$36,0)))),"X","")</f>
        <v/>
      </c>
      <c r="AS7" s="39" t="str">
        <f>IF(ISNUMBER(SEARCH($A7,INDEX(Index_CT!$D$2:$D$36,MATCH(AS$3,Index_CT!$A$2:$A$36,0)))),"X","")</f>
        <v/>
      </c>
      <c r="AT7" s="39" t="str">
        <f>IF(ISNUMBER(SEARCH($A7,INDEX(Index_CT!$D$2:$D$36,MATCH(AT$3,Index_CT!$A$2:$A$36,0)))),"X","")</f>
        <v/>
      </c>
      <c r="AU7" s="39" t="str">
        <f>IF(ISNUMBER(SEARCH($A7,INDEX(Index_CT!$D$2:$D$36,MATCH(AU$3,Index_CT!$A$2:$A$36,0)))),"X","")</f>
        <v/>
      </c>
      <c r="AV7" s="39" t="str">
        <f>IF(ISNUMBER(SEARCH($A7,INDEX(Index_CT!$D$2:$D$36,MATCH(AV$3,Index_CT!$A$2:$A$36,0)))),"X","")</f>
        <v/>
      </c>
      <c r="AW7" s="39" t="str">
        <f>IF(ISNUMBER(SEARCH($A7,INDEX(Index_CT!$D$2:$D$36,MATCH(AW$3,Index_CT!$A$2:$A$36,0)))),"X","")</f>
        <v/>
      </c>
      <c r="AX7" s="39" t="str">
        <f>IF(ISNUMBER(SEARCH($A7,INDEX(Index_CT!$D$2:$D$36,MATCH(AX$3,Index_CT!$A$2:$A$36,0)))),"X","")</f>
        <v/>
      </c>
      <c r="AY7" s="39" t="str">
        <f>IF(ISNUMBER(SEARCH($A7,INDEX(Index_CT!$D$2:$D$36,MATCH(AY$3,Index_CT!$A$2:$A$36,0)))),"X","")</f>
        <v/>
      </c>
      <c r="AZ7" s="39" t="str">
        <f>IF(ISNUMBER(SEARCH($A7,INDEX(Index_CT!$D$2:$D$36,MATCH(AZ$3,Index_CT!$A$2:$A$36,0)))),"X","")</f>
        <v/>
      </c>
      <c r="BA7" s="39" t="str">
        <f>IF(ISNUMBER(SEARCH($A7,INDEX(Index_CT!$D$2:$D$36,MATCH(BA$3,Index_CT!$A$2:$A$36,0)))),"X","")</f>
        <v/>
      </c>
      <c r="BB7" s="39" t="str">
        <f>IF(ISNUMBER(SEARCH($A7,INDEX(Index_CT!$D$2:$D$36,MATCH(BB$3,Index_CT!$A$2:$A$36,0)))),"X","")</f>
        <v/>
      </c>
      <c r="BC7" s="39" t="str">
        <f>IF(ISNUMBER(SEARCH($A7,INDEX(Index_CT!$D$2:$D$36,MATCH(BC$3,Index_CT!$A$2:$A$36,0)))),"X","")</f>
        <v/>
      </c>
      <c r="BD7" s="39" t="str">
        <f>IF(ISNUMBER(SEARCH($A7,INDEX(Index_CT!$D$2:$D$36,MATCH(BD$3,Index_CT!$A$2:$A$36,0)))),"X","")</f>
        <v/>
      </c>
      <c r="BE7" s="39" t="str">
        <f>IF(ISNUMBER(SEARCH($A7,INDEX(Index_CT!$D$2:$D$36,MATCH(BE$3,Index_CT!$A$2:$A$36,0)))),"X","")</f>
        <v/>
      </c>
      <c r="BF7" s="39" t="str">
        <f>IF(ISNUMBER(SEARCH($A7,INDEX(Index_CT!$D$2:$D$36,MATCH(BF$3,Index_CT!$A$2:$A$36,0)))),"X","")</f>
        <v/>
      </c>
      <c r="BG7" s="39" t="str">
        <f>IF(ISNUMBER(SEARCH($A7,INDEX(Index_CT!$D$2:$D$36,MATCH(BG$3,Index_CT!$A$2:$A$36,0)))),"X","")</f>
        <v/>
      </c>
      <c r="BH7" s="39" t="str">
        <f>IF(ISNUMBER(SEARCH($A7,INDEX(Index_CT!$D$2:$D$36,MATCH(BH$3,Index_CT!$A$2:$A$36,0)))),"X","")</f>
        <v/>
      </c>
      <c r="BI7" s="39" t="str">
        <f>IF(ISNUMBER(SEARCH($A7,INDEX(Index_CT!$D$2:$D$36,MATCH(BI$3,Index_CT!$A$2:$A$36,0)))),"X","")</f>
        <v/>
      </c>
      <c r="BJ7" s="39" t="str">
        <f>IF(ISNUMBER(SEARCH($A7,INDEX(Index_CT!$D$2:$D$36,MATCH(BJ$3,Index_CT!$A$2:$A$36,0)))),"X","")</f>
        <v/>
      </c>
      <c r="BK7" s="39" t="str">
        <f>IF(ISNUMBER(SEARCH($A7,INDEX(Index_CT!$D$2:$D$36,MATCH(BK$3,Index_CT!$A$2:$A$36,0)))),"X","")</f>
        <v/>
      </c>
      <c r="BL7" s="39" t="str">
        <f>IF(ISNUMBER(SEARCH($A7,INDEX(Index_CT!$D$2:$D$36,MATCH(BL$3,Index_CT!$A$2:$A$36,0)))),"X","")</f>
        <v/>
      </c>
      <c r="BM7" s="39" t="str">
        <f>IF(ISNUMBER(SEARCH($A7,INDEX(Index_CT!$D$2:$D$36,MATCH(BM$3,Index_CT!$A$2:$A$36,0)))),"X","")</f>
        <v/>
      </c>
      <c r="BN7" s="39" t="str">
        <f>IF(ISNUMBER(SEARCH($A7,INDEX(Index_CT!$D$2:$D$36,MATCH(BN$3,Index_CT!$A$2:$A$36,0)))),"X","")</f>
        <v/>
      </c>
      <c r="BO7" s="39" t="str">
        <f>IF(ISNUMBER(SEARCH($A7,INDEX(Index_CT!$D$2:$D$36,MATCH(BO$3,Index_CT!$A$2:$A$36,0)))),"X","")</f>
        <v/>
      </c>
      <c r="BP7" s="39" t="str">
        <f>IF(ISNUMBER(SEARCH($A7,INDEX(Index_CT!$D$2:$D$36,MATCH(BP$3,Index_CT!$A$2:$A$36,0)))),"X","")</f>
        <v/>
      </c>
      <c r="BQ7" s="39" t="str">
        <f>IF(ISNUMBER(SEARCH($A7,INDEX(Index_CT!$D$2:$D$36,MATCH(BQ$3,Index_CT!$A$2:$A$36,0)))),"X","")</f>
        <v/>
      </c>
      <c r="BR7" s="39" t="str">
        <f>IF(ISNUMBER(SEARCH($A7,INDEX(Index_CT!$D$2:$D$36,MATCH(BR$3,Index_CT!$A$2:$A$36,0)))),"X","")</f>
        <v/>
      </c>
    </row>
    <row r="8" spans="1:70" x14ac:dyDescent="0.25">
      <c r="A8" s="33" t="s">
        <v>118</v>
      </c>
      <c r="B8" s="34" t="s">
        <v>491</v>
      </c>
      <c r="C8" s="33" t="s">
        <v>53</v>
      </c>
      <c r="D8" s="33">
        <f t="shared" si="0"/>
        <v>1</v>
      </c>
      <c r="E8" s="39" t="str">
        <f>IF(ISNUMBER(SEARCH($A8,INDEX(Index_CT!$D$2:$D$36,MATCH(E$3,Index_CT!$A$2:$A$36,0)))),"X","")</f>
        <v/>
      </c>
      <c r="F8" s="39" t="str">
        <f>IF(ISNUMBER(SEARCH($A8,INDEX(Index_CT!$D$2:$D$36,MATCH(F$3,Index_CT!$A$2:$A$36,0)))),"X","")</f>
        <v/>
      </c>
      <c r="G8" s="39" t="str">
        <f>IF(ISNUMBER(SEARCH($A8,INDEX(Index_CT!$D$2:$D$36,MATCH(G$3,Index_CT!$A$2:$A$36,0)))),"X","")</f>
        <v/>
      </c>
      <c r="H8" s="39" t="str">
        <f>IF(ISNUMBER(SEARCH($A8,INDEX(Index_CT!$D$2:$D$36,MATCH(H$3,Index_CT!$A$2:$A$36,0)))),"X","")</f>
        <v/>
      </c>
      <c r="I8" s="39" t="str">
        <f>IF(ISNUMBER(SEARCH($A8,INDEX(Index_CT!$D$2:$D$36,MATCH(I$3,Index_CT!$A$2:$A$36,0)))),"X","")</f>
        <v/>
      </c>
      <c r="J8" s="39" t="str">
        <f>IF(ISNUMBER(SEARCH($A8,INDEX(Index_CT!$D$2:$D$36,MATCH(J$3,Index_CT!$A$2:$A$36,0)))),"X","")</f>
        <v/>
      </c>
      <c r="K8" s="39" t="str">
        <f>IF(ISNUMBER(SEARCH($A8,INDEX(Index_CT!$D$2:$D$36,MATCH(K$3,Index_CT!$A$2:$A$36,0)))),"X","")</f>
        <v/>
      </c>
      <c r="L8" s="39" t="str">
        <f>IF(ISNUMBER(SEARCH($A8,INDEX(Index_CT!$D$2:$D$36,MATCH(L$3,Index_CT!$A$2:$A$36,0)))),"X","")</f>
        <v>X</v>
      </c>
      <c r="M8" s="39" t="str">
        <f>IF(ISNUMBER(SEARCH($A8,INDEX(Index_CT!$D$2:$D$36,MATCH(M$3,Index_CT!$A$2:$A$36,0)))),"X","")</f>
        <v/>
      </c>
      <c r="N8" s="39" t="str">
        <f>IF(ISNUMBER(SEARCH($A8,INDEX(Index_CT!$D$2:$D$36,MATCH(N$3,Index_CT!$A$2:$A$36,0)))),"X","")</f>
        <v/>
      </c>
      <c r="O8" s="39" t="str">
        <f>IF(ISNUMBER(SEARCH($A8,INDEX(Index_CT!$D$2:$D$36,MATCH(O$3,Index_CT!$A$2:$A$36,0)))),"X","")</f>
        <v/>
      </c>
      <c r="P8" s="39" t="str">
        <f>IF(ISNUMBER(SEARCH($A8,INDEX(Index_CT!$D$2:$D$36,MATCH(P$3,Index_CT!$A$2:$A$36,0)))),"X","")</f>
        <v/>
      </c>
      <c r="Q8" s="39" t="str">
        <f>IF(ISNUMBER(SEARCH($A8,INDEX(Index_CT!$D$2:$D$36,MATCH(Q$3,Index_CT!$A$2:$A$36,0)))),"X","")</f>
        <v/>
      </c>
      <c r="R8" s="39" t="str">
        <f>IF(ISNUMBER(SEARCH($A8,INDEX(Index_CT!$D$2:$D$36,MATCH(R$3,Index_CT!$A$2:$A$36,0)))),"X","")</f>
        <v/>
      </c>
      <c r="S8" s="39" t="str">
        <f>IF(ISNUMBER(SEARCH($A8,INDEX(Index_CT!$D$2:$D$36,MATCH(S$3,Index_CT!$A$2:$A$36,0)))),"X","")</f>
        <v/>
      </c>
      <c r="T8" s="39" t="str">
        <f>IF(ISNUMBER(SEARCH($A8,INDEX(Index_CT!$D$2:$D$36,MATCH(T$3,Index_CT!$A$2:$A$36,0)))),"X","")</f>
        <v/>
      </c>
      <c r="U8" s="39" t="str">
        <f>IF(ISNUMBER(SEARCH($A8,INDEX(Index_CT!$D$2:$D$36,MATCH(U$3,Index_CT!$A$2:$A$36,0)))),"X","")</f>
        <v/>
      </c>
      <c r="V8" s="39" t="str">
        <f>IF(ISNUMBER(SEARCH($A8,INDEX(Index_CT!$D$2:$D$36,MATCH(V$3,Index_CT!$A$2:$A$36,0)))),"X","")</f>
        <v/>
      </c>
      <c r="W8" s="39" t="str">
        <f>IF(ISNUMBER(SEARCH($A8,INDEX(Index_CT!$D$2:$D$36,MATCH(W$3,Index_CT!$A$2:$A$36,0)))),"X","")</f>
        <v/>
      </c>
      <c r="X8" s="39" t="str">
        <f>IF(ISNUMBER(SEARCH($A8,INDEX(Index_CT!$D$2:$D$36,MATCH(X$3,Index_CT!$A$2:$A$36,0)))),"X","")</f>
        <v/>
      </c>
      <c r="Y8" s="39" t="str">
        <f>IF(ISNUMBER(SEARCH($A8,INDEX(Index_CT!$D$2:$D$36,MATCH(Y$3,Index_CT!$A$2:$A$36,0)))),"X","")</f>
        <v/>
      </c>
      <c r="Z8" s="39" t="str">
        <f>IF(ISNUMBER(SEARCH($A8,INDEX(Index_CT!$D$2:$D$36,MATCH(Z$3,Index_CT!$A$2:$A$36,0)))),"X","")</f>
        <v/>
      </c>
      <c r="AA8" s="39" t="str">
        <f>IF(ISNUMBER(SEARCH($A8,INDEX(Index_CT!$D$2:$D$36,MATCH(AA$3,Index_CT!$A$2:$A$36,0)))),"X","")</f>
        <v/>
      </c>
      <c r="AB8" s="39" t="str">
        <f>IF(ISNUMBER(SEARCH($A8,INDEX(Index_CT!$D$2:$D$36,MATCH(AB$3,Index_CT!$A$2:$A$36,0)))),"X","")</f>
        <v/>
      </c>
      <c r="AC8" s="39" t="str">
        <f>IF(ISNUMBER(SEARCH($A8,INDEX(Index_CT!$D$2:$D$36,MATCH(AC$3,Index_CT!$A$2:$A$36,0)))),"X","")</f>
        <v/>
      </c>
      <c r="AD8" s="39" t="str">
        <f>IF(ISNUMBER(SEARCH($A8,INDEX(Index_CT!$D$2:$D$36,MATCH(AD$3,Index_CT!$A$2:$A$36,0)))),"X","")</f>
        <v/>
      </c>
      <c r="AE8" s="39" t="str">
        <f>IF(ISNUMBER(SEARCH($A8,INDEX(Index_CT!$D$2:$D$36,MATCH(AE$3,Index_CT!$A$2:$A$36,0)))),"X","")</f>
        <v/>
      </c>
      <c r="AF8" s="39" t="str">
        <f>IF(ISNUMBER(SEARCH($A8,INDEX(Index_CT!$D$2:$D$36,MATCH(AF$3,Index_CT!$A$2:$A$36,0)))),"X","")</f>
        <v/>
      </c>
      <c r="AG8" s="39" t="str">
        <f>IF(ISNUMBER(SEARCH($A8,INDEX(Index_CT!$D$2:$D$36,MATCH(AG$3,Index_CT!$A$2:$A$36,0)))),"X","")</f>
        <v/>
      </c>
      <c r="AH8" s="39" t="str">
        <f>IF(ISNUMBER(SEARCH($A8,INDEX(Index_CT!$D$2:$D$36,MATCH(AH$3,Index_CT!$A$2:$A$36,0)))),"X","")</f>
        <v/>
      </c>
      <c r="AI8" s="39" t="str">
        <f>IF(ISNUMBER(SEARCH($A8,INDEX(Index_CT!$D$2:$D$36,MATCH(AI$3,Index_CT!$A$2:$A$36,0)))),"X","")</f>
        <v/>
      </c>
      <c r="AJ8" s="39" t="str">
        <f>IF(ISNUMBER(SEARCH($A8,INDEX(Index_CT!$D$2:$D$36,MATCH(AJ$3,Index_CT!$A$2:$A$36,0)))),"X","")</f>
        <v/>
      </c>
      <c r="AK8" s="39" t="str">
        <f>IF(ISNUMBER(SEARCH($A8,INDEX(Index_CT!$D$2:$D$36,MATCH(AK$3,Index_CT!$A$2:$A$36,0)))),"X","")</f>
        <v/>
      </c>
      <c r="AL8" s="39" t="str">
        <f>IF(ISNUMBER(SEARCH($A8,INDEX(Index_CT!$D$2:$D$36,MATCH(AL$3,Index_CT!$A$2:$A$36,0)))),"X","")</f>
        <v/>
      </c>
      <c r="AM8" s="39" t="str">
        <f>IF(ISNUMBER(SEARCH($A8,INDEX(Index_CT!$D$2:$D$36,MATCH(AM$3,Index_CT!$A$2:$A$36,0)))),"X","")</f>
        <v/>
      </c>
      <c r="AN8" s="39" t="str">
        <f>IF(ISNUMBER(SEARCH($A8,INDEX(Index_CT!$D$2:$D$36,MATCH(AN$3,Index_CT!$A$2:$A$36,0)))),"X","")</f>
        <v/>
      </c>
      <c r="AO8" s="39" t="str">
        <f>IF(ISNUMBER(SEARCH($A8,INDEX(Index_CT!$D$2:$D$36,MATCH(AO$3,Index_CT!$A$2:$A$36,0)))),"X","")</f>
        <v/>
      </c>
      <c r="AP8" s="39" t="str">
        <f>IF(ISNUMBER(SEARCH($A8,INDEX(Index_CT!$D$2:$D$36,MATCH(AP$3,Index_CT!$A$2:$A$36,0)))),"X","")</f>
        <v/>
      </c>
      <c r="AQ8" s="39" t="str">
        <f>IF(ISNUMBER(SEARCH($A8,INDEX(Index_CT!$D$2:$D$36,MATCH(AQ$3,Index_CT!$A$2:$A$36,0)))),"X","")</f>
        <v/>
      </c>
      <c r="AR8" s="39" t="str">
        <f>IF(ISNUMBER(SEARCH($A8,INDEX(Index_CT!$D$2:$D$36,MATCH(AR$3,Index_CT!$A$2:$A$36,0)))),"X","")</f>
        <v/>
      </c>
      <c r="AS8" s="39" t="str">
        <f>IF(ISNUMBER(SEARCH($A8,INDEX(Index_CT!$D$2:$D$36,MATCH(AS$3,Index_CT!$A$2:$A$36,0)))),"X","")</f>
        <v/>
      </c>
      <c r="AT8" s="39" t="str">
        <f>IF(ISNUMBER(SEARCH($A8,INDEX(Index_CT!$D$2:$D$36,MATCH(AT$3,Index_CT!$A$2:$A$36,0)))),"X","")</f>
        <v/>
      </c>
      <c r="AU8" s="39" t="str">
        <f>IF(ISNUMBER(SEARCH($A8,INDEX(Index_CT!$D$2:$D$36,MATCH(AU$3,Index_CT!$A$2:$A$36,0)))),"X","")</f>
        <v/>
      </c>
      <c r="AV8" s="39" t="str">
        <f>IF(ISNUMBER(SEARCH($A8,INDEX(Index_CT!$D$2:$D$36,MATCH(AV$3,Index_CT!$A$2:$A$36,0)))),"X","")</f>
        <v/>
      </c>
      <c r="AW8" s="39" t="str">
        <f>IF(ISNUMBER(SEARCH($A8,INDEX(Index_CT!$D$2:$D$36,MATCH(AW$3,Index_CT!$A$2:$A$36,0)))),"X","")</f>
        <v/>
      </c>
      <c r="AX8" s="39" t="str">
        <f>IF(ISNUMBER(SEARCH($A8,INDEX(Index_CT!$D$2:$D$36,MATCH(AX$3,Index_CT!$A$2:$A$36,0)))),"X","")</f>
        <v/>
      </c>
      <c r="AY8" s="39" t="str">
        <f>IF(ISNUMBER(SEARCH($A8,INDEX(Index_CT!$D$2:$D$36,MATCH(AY$3,Index_CT!$A$2:$A$36,0)))),"X","")</f>
        <v/>
      </c>
      <c r="AZ8" s="39" t="str">
        <f>IF(ISNUMBER(SEARCH($A8,INDEX(Index_CT!$D$2:$D$36,MATCH(AZ$3,Index_CT!$A$2:$A$36,0)))),"X","")</f>
        <v/>
      </c>
      <c r="BA8" s="39" t="str">
        <f>IF(ISNUMBER(SEARCH($A8,INDEX(Index_CT!$D$2:$D$36,MATCH(BA$3,Index_CT!$A$2:$A$36,0)))),"X","")</f>
        <v/>
      </c>
      <c r="BB8" s="39" t="str">
        <f>IF(ISNUMBER(SEARCH($A8,INDEX(Index_CT!$D$2:$D$36,MATCH(BB$3,Index_CT!$A$2:$A$36,0)))),"X","")</f>
        <v/>
      </c>
      <c r="BC8" s="39" t="str">
        <f>IF(ISNUMBER(SEARCH($A8,INDEX(Index_CT!$D$2:$D$36,MATCH(BC$3,Index_CT!$A$2:$A$36,0)))),"X","")</f>
        <v/>
      </c>
      <c r="BD8" s="39" t="str">
        <f>IF(ISNUMBER(SEARCH($A8,INDEX(Index_CT!$D$2:$D$36,MATCH(BD$3,Index_CT!$A$2:$A$36,0)))),"X","")</f>
        <v/>
      </c>
      <c r="BE8" s="39" t="str">
        <f>IF(ISNUMBER(SEARCH($A8,INDEX(Index_CT!$D$2:$D$36,MATCH(BE$3,Index_CT!$A$2:$A$36,0)))),"X","")</f>
        <v/>
      </c>
      <c r="BF8" s="39" t="str">
        <f>IF(ISNUMBER(SEARCH($A8,INDEX(Index_CT!$D$2:$D$36,MATCH(BF$3,Index_CT!$A$2:$A$36,0)))),"X","")</f>
        <v/>
      </c>
      <c r="BG8" s="39" t="str">
        <f>IF(ISNUMBER(SEARCH($A8,INDEX(Index_CT!$D$2:$D$36,MATCH(BG$3,Index_CT!$A$2:$A$36,0)))),"X","")</f>
        <v/>
      </c>
      <c r="BH8" s="39" t="str">
        <f>IF(ISNUMBER(SEARCH($A8,INDEX(Index_CT!$D$2:$D$36,MATCH(BH$3,Index_CT!$A$2:$A$36,0)))),"X","")</f>
        <v/>
      </c>
      <c r="BI8" s="39" t="str">
        <f>IF(ISNUMBER(SEARCH($A8,INDEX(Index_CT!$D$2:$D$36,MATCH(BI$3,Index_CT!$A$2:$A$36,0)))),"X","")</f>
        <v/>
      </c>
      <c r="BJ8" s="39" t="str">
        <f>IF(ISNUMBER(SEARCH($A8,INDEX(Index_CT!$D$2:$D$36,MATCH(BJ$3,Index_CT!$A$2:$A$36,0)))),"X","")</f>
        <v/>
      </c>
      <c r="BK8" s="39" t="str">
        <f>IF(ISNUMBER(SEARCH($A8,INDEX(Index_CT!$D$2:$D$36,MATCH(BK$3,Index_CT!$A$2:$A$36,0)))),"X","")</f>
        <v/>
      </c>
      <c r="BL8" s="39" t="str">
        <f>IF(ISNUMBER(SEARCH($A8,INDEX(Index_CT!$D$2:$D$36,MATCH(BL$3,Index_CT!$A$2:$A$36,0)))),"X","")</f>
        <v/>
      </c>
      <c r="BM8" s="39" t="str">
        <f>IF(ISNUMBER(SEARCH($A8,INDEX(Index_CT!$D$2:$D$36,MATCH(BM$3,Index_CT!$A$2:$A$36,0)))),"X","")</f>
        <v/>
      </c>
      <c r="BN8" s="39" t="str">
        <f>IF(ISNUMBER(SEARCH($A8,INDEX(Index_CT!$D$2:$D$36,MATCH(BN$3,Index_CT!$A$2:$A$36,0)))),"X","")</f>
        <v/>
      </c>
      <c r="BO8" s="39" t="str">
        <f>IF(ISNUMBER(SEARCH($A8,INDEX(Index_CT!$D$2:$D$36,MATCH(BO$3,Index_CT!$A$2:$A$36,0)))),"X","")</f>
        <v/>
      </c>
      <c r="BP8" s="39" t="str">
        <f>IF(ISNUMBER(SEARCH($A8,INDEX(Index_CT!$D$2:$D$36,MATCH(BP$3,Index_CT!$A$2:$A$36,0)))),"X","")</f>
        <v/>
      </c>
      <c r="BQ8" s="39" t="str">
        <f>IF(ISNUMBER(SEARCH($A8,INDEX(Index_CT!$D$2:$D$36,MATCH(BQ$3,Index_CT!$A$2:$A$36,0)))),"X","")</f>
        <v/>
      </c>
      <c r="BR8" s="39" t="str">
        <f>IF(ISNUMBER(SEARCH($A8,INDEX(Index_CT!$D$2:$D$36,MATCH(BR$3,Index_CT!$A$2:$A$36,0)))),"X","")</f>
        <v/>
      </c>
    </row>
    <row r="9" spans="1:70" ht="26.25" customHeight="1" x14ac:dyDescent="0.25">
      <c r="A9" s="33" t="s">
        <v>131</v>
      </c>
      <c r="B9" s="34" t="s">
        <v>493</v>
      </c>
      <c r="C9" s="33" t="s">
        <v>53</v>
      </c>
      <c r="D9" s="33">
        <f t="shared" si="0"/>
        <v>2</v>
      </c>
      <c r="E9" s="39" t="str">
        <f>IF(ISNUMBER(SEARCH($A9,INDEX(Index_CT!$D$2:$D$36,MATCH(E$3,Index_CT!$A$2:$A$36,0)))),"X","")</f>
        <v/>
      </c>
      <c r="F9" s="39" t="str">
        <f>IF(ISNUMBER(SEARCH($A9,INDEX(Index_CT!$D$2:$D$36,MATCH(F$3,Index_CT!$A$2:$A$36,0)))),"X","")</f>
        <v/>
      </c>
      <c r="G9" s="39" t="str">
        <f>IF(ISNUMBER(SEARCH($A9,INDEX(Index_CT!$D$2:$D$36,MATCH(G$3,Index_CT!$A$2:$A$36,0)))),"X","")</f>
        <v/>
      </c>
      <c r="H9" s="39" t="str">
        <f>IF(ISNUMBER(SEARCH($A9,INDEX(Index_CT!$D$2:$D$36,MATCH(H$3,Index_CT!$A$2:$A$36,0)))),"X","")</f>
        <v/>
      </c>
      <c r="I9" s="39" t="str">
        <f>IF(ISNUMBER(SEARCH($A9,INDEX(Index_CT!$D$2:$D$36,MATCH(I$3,Index_CT!$A$2:$A$36,0)))),"X","")</f>
        <v/>
      </c>
      <c r="J9" s="39" t="str">
        <f>IF(ISNUMBER(SEARCH($A9,INDEX(Index_CT!$D$2:$D$36,MATCH(J$3,Index_CT!$A$2:$A$36,0)))),"X","")</f>
        <v/>
      </c>
      <c r="K9" s="39" t="str">
        <f>IF(ISNUMBER(SEARCH($A9,INDEX(Index_CT!$D$2:$D$36,MATCH(K$3,Index_CT!$A$2:$A$36,0)))),"X","")</f>
        <v/>
      </c>
      <c r="L9" s="39" t="str">
        <f>IF(ISNUMBER(SEARCH($A9,INDEX(Index_CT!$D$2:$D$36,MATCH(L$3,Index_CT!$A$2:$A$36,0)))),"X","")</f>
        <v/>
      </c>
      <c r="M9" s="39" t="str">
        <f>IF(ISNUMBER(SEARCH($A9,INDEX(Index_CT!$D$2:$D$36,MATCH(M$3,Index_CT!$A$2:$A$36,0)))),"X","")</f>
        <v>X</v>
      </c>
      <c r="N9" s="39" t="str">
        <f>IF(ISNUMBER(SEARCH($A9,INDEX(Index_CT!$D$2:$D$36,MATCH(N$3,Index_CT!$A$2:$A$36,0)))),"X","")</f>
        <v>X</v>
      </c>
      <c r="O9" s="39" t="str">
        <f>IF(ISNUMBER(SEARCH($A9,INDEX(Index_CT!$D$2:$D$36,MATCH(O$3,Index_CT!$A$2:$A$36,0)))),"X","")</f>
        <v/>
      </c>
      <c r="P9" s="39" t="str">
        <f>IF(ISNUMBER(SEARCH($A9,INDEX(Index_CT!$D$2:$D$36,MATCH(P$3,Index_CT!$A$2:$A$36,0)))),"X","")</f>
        <v/>
      </c>
      <c r="Q9" s="39" t="str">
        <f>IF(ISNUMBER(SEARCH($A9,INDEX(Index_CT!$D$2:$D$36,MATCH(Q$3,Index_CT!$A$2:$A$36,0)))),"X","")</f>
        <v/>
      </c>
      <c r="R9" s="39" t="str">
        <f>IF(ISNUMBER(SEARCH($A9,INDEX(Index_CT!$D$2:$D$36,MATCH(R$3,Index_CT!$A$2:$A$36,0)))),"X","")</f>
        <v/>
      </c>
      <c r="S9" s="39" t="str">
        <f>IF(ISNUMBER(SEARCH($A9,INDEX(Index_CT!$D$2:$D$36,MATCH(S$3,Index_CT!$A$2:$A$36,0)))),"X","")</f>
        <v/>
      </c>
      <c r="T9" s="39" t="str">
        <f>IF(ISNUMBER(SEARCH($A9,INDEX(Index_CT!$D$2:$D$36,MATCH(T$3,Index_CT!$A$2:$A$36,0)))),"X","")</f>
        <v/>
      </c>
      <c r="U9" s="39" t="str">
        <f>IF(ISNUMBER(SEARCH($A9,INDEX(Index_CT!$D$2:$D$36,MATCH(U$3,Index_CT!$A$2:$A$36,0)))),"X","")</f>
        <v/>
      </c>
      <c r="V9" s="39" t="str">
        <f>IF(ISNUMBER(SEARCH($A9,INDEX(Index_CT!$D$2:$D$36,MATCH(V$3,Index_CT!$A$2:$A$36,0)))),"X","")</f>
        <v/>
      </c>
      <c r="W9" s="39" t="str">
        <f>IF(ISNUMBER(SEARCH($A9,INDEX(Index_CT!$D$2:$D$36,MATCH(W$3,Index_CT!$A$2:$A$36,0)))),"X","")</f>
        <v/>
      </c>
      <c r="X9" s="39" t="str">
        <f>IF(ISNUMBER(SEARCH($A9,INDEX(Index_CT!$D$2:$D$36,MATCH(X$3,Index_CT!$A$2:$A$36,0)))),"X","")</f>
        <v/>
      </c>
      <c r="Y9" s="39" t="str">
        <f>IF(ISNUMBER(SEARCH($A9,INDEX(Index_CT!$D$2:$D$36,MATCH(Y$3,Index_CT!$A$2:$A$36,0)))),"X","")</f>
        <v/>
      </c>
      <c r="Z9" s="39" t="str">
        <f>IF(ISNUMBER(SEARCH($A9,INDEX(Index_CT!$D$2:$D$36,MATCH(Z$3,Index_CT!$A$2:$A$36,0)))),"X","")</f>
        <v/>
      </c>
      <c r="AA9" s="39" t="str">
        <f>IF(ISNUMBER(SEARCH($A9,INDEX(Index_CT!$D$2:$D$36,MATCH(AA$3,Index_CT!$A$2:$A$36,0)))),"X","")</f>
        <v/>
      </c>
      <c r="AB9" s="39" t="str">
        <f>IF(ISNUMBER(SEARCH($A9,INDEX(Index_CT!$D$2:$D$36,MATCH(AB$3,Index_CT!$A$2:$A$36,0)))),"X","")</f>
        <v/>
      </c>
      <c r="AC9" s="39" t="str">
        <f>IF(ISNUMBER(SEARCH($A9,INDEX(Index_CT!$D$2:$D$36,MATCH(AC$3,Index_CT!$A$2:$A$36,0)))),"X","")</f>
        <v/>
      </c>
      <c r="AD9" s="39" t="str">
        <f>IF(ISNUMBER(SEARCH($A9,INDEX(Index_CT!$D$2:$D$36,MATCH(AD$3,Index_CT!$A$2:$A$36,0)))),"X","")</f>
        <v/>
      </c>
      <c r="AE9" s="39" t="str">
        <f>IF(ISNUMBER(SEARCH($A9,INDEX(Index_CT!$D$2:$D$36,MATCH(AE$3,Index_CT!$A$2:$A$36,0)))),"X","")</f>
        <v/>
      </c>
      <c r="AF9" s="39" t="str">
        <f>IF(ISNUMBER(SEARCH($A9,INDEX(Index_CT!$D$2:$D$36,MATCH(AF$3,Index_CT!$A$2:$A$36,0)))),"X","")</f>
        <v/>
      </c>
      <c r="AG9" s="39" t="str">
        <f>IF(ISNUMBER(SEARCH($A9,INDEX(Index_CT!$D$2:$D$36,MATCH(AG$3,Index_CT!$A$2:$A$36,0)))),"X","")</f>
        <v/>
      </c>
      <c r="AH9" s="39" t="str">
        <f>IF(ISNUMBER(SEARCH($A9,INDEX(Index_CT!$D$2:$D$36,MATCH(AH$3,Index_CT!$A$2:$A$36,0)))),"X","")</f>
        <v/>
      </c>
      <c r="AI9" s="39" t="str">
        <f>IF(ISNUMBER(SEARCH($A9,INDEX(Index_CT!$D$2:$D$36,MATCH(AI$3,Index_CT!$A$2:$A$36,0)))),"X","")</f>
        <v/>
      </c>
      <c r="AJ9" s="39" t="str">
        <f>IF(ISNUMBER(SEARCH($A9,INDEX(Index_CT!$D$2:$D$36,MATCH(AJ$3,Index_CT!$A$2:$A$36,0)))),"X","")</f>
        <v/>
      </c>
      <c r="AK9" s="39" t="str">
        <f>IF(ISNUMBER(SEARCH($A9,INDEX(Index_CT!$D$2:$D$36,MATCH(AK$3,Index_CT!$A$2:$A$36,0)))),"X","")</f>
        <v/>
      </c>
      <c r="AL9" s="39" t="str">
        <f>IF(ISNUMBER(SEARCH($A9,INDEX(Index_CT!$D$2:$D$36,MATCH(AL$3,Index_CT!$A$2:$A$36,0)))),"X","")</f>
        <v/>
      </c>
      <c r="AM9" s="39" t="str">
        <f>IF(ISNUMBER(SEARCH($A9,INDEX(Index_CT!$D$2:$D$36,MATCH(AM$3,Index_CT!$A$2:$A$36,0)))),"X","")</f>
        <v/>
      </c>
      <c r="AN9" s="39" t="str">
        <f>IF(ISNUMBER(SEARCH($A9,INDEX(Index_CT!$D$2:$D$36,MATCH(AN$3,Index_CT!$A$2:$A$36,0)))),"X","")</f>
        <v/>
      </c>
      <c r="AO9" s="39" t="str">
        <f>IF(ISNUMBER(SEARCH($A9,INDEX(Index_CT!$D$2:$D$36,MATCH(AO$3,Index_CT!$A$2:$A$36,0)))),"X","")</f>
        <v/>
      </c>
      <c r="AP9" s="39" t="str">
        <f>IF(ISNUMBER(SEARCH($A9,INDEX(Index_CT!$D$2:$D$36,MATCH(AP$3,Index_CT!$A$2:$A$36,0)))),"X","")</f>
        <v/>
      </c>
      <c r="AQ9" s="39" t="str">
        <f>IF(ISNUMBER(SEARCH($A9,INDEX(Index_CT!$D$2:$D$36,MATCH(AQ$3,Index_CT!$A$2:$A$36,0)))),"X","")</f>
        <v/>
      </c>
      <c r="AR9" s="39" t="str">
        <f>IF(ISNUMBER(SEARCH($A9,INDEX(Index_CT!$D$2:$D$36,MATCH(AR$3,Index_CT!$A$2:$A$36,0)))),"X","")</f>
        <v/>
      </c>
      <c r="AS9" s="39" t="str">
        <f>IF(ISNUMBER(SEARCH($A9,INDEX(Index_CT!$D$2:$D$36,MATCH(AS$3,Index_CT!$A$2:$A$36,0)))),"X","")</f>
        <v/>
      </c>
      <c r="AT9" s="39" t="str">
        <f>IF(ISNUMBER(SEARCH($A9,INDEX(Index_CT!$D$2:$D$36,MATCH(AT$3,Index_CT!$A$2:$A$36,0)))),"X","")</f>
        <v/>
      </c>
      <c r="AU9" s="39" t="str">
        <f>IF(ISNUMBER(SEARCH($A9,INDEX(Index_CT!$D$2:$D$36,MATCH(AU$3,Index_CT!$A$2:$A$36,0)))),"X","")</f>
        <v/>
      </c>
      <c r="AV9" s="39" t="str">
        <f>IF(ISNUMBER(SEARCH($A9,INDEX(Index_CT!$D$2:$D$36,MATCH(AV$3,Index_CT!$A$2:$A$36,0)))),"X","")</f>
        <v/>
      </c>
      <c r="AW9" s="39" t="str">
        <f>IF(ISNUMBER(SEARCH($A9,INDEX(Index_CT!$D$2:$D$36,MATCH(AW$3,Index_CT!$A$2:$A$36,0)))),"X","")</f>
        <v/>
      </c>
      <c r="AX9" s="39" t="str">
        <f>IF(ISNUMBER(SEARCH($A9,INDEX(Index_CT!$D$2:$D$36,MATCH(AX$3,Index_CT!$A$2:$A$36,0)))),"X","")</f>
        <v/>
      </c>
      <c r="AY9" s="39" t="str">
        <f>IF(ISNUMBER(SEARCH($A9,INDEX(Index_CT!$D$2:$D$36,MATCH(AY$3,Index_CT!$A$2:$A$36,0)))),"X","")</f>
        <v/>
      </c>
      <c r="AZ9" s="39" t="str">
        <f>IF(ISNUMBER(SEARCH($A9,INDEX(Index_CT!$D$2:$D$36,MATCH(AZ$3,Index_CT!$A$2:$A$36,0)))),"X","")</f>
        <v/>
      </c>
      <c r="BA9" s="39" t="str">
        <f>IF(ISNUMBER(SEARCH($A9,INDEX(Index_CT!$D$2:$D$36,MATCH(BA$3,Index_CT!$A$2:$A$36,0)))),"X","")</f>
        <v/>
      </c>
      <c r="BB9" s="39" t="str">
        <f>IF(ISNUMBER(SEARCH($A9,INDEX(Index_CT!$D$2:$D$36,MATCH(BB$3,Index_CT!$A$2:$A$36,0)))),"X","")</f>
        <v/>
      </c>
      <c r="BC9" s="39" t="str">
        <f>IF(ISNUMBER(SEARCH($A9,INDEX(Index_CT!$D$2:$D$36,MATCH(BC$3,Index_CT!$A$2:$A$36,0)))),"X","")</f>
        <v/>
      </c>
      <c r="BD9" s="39" t="str">
        <f>IF(ISNUMBER(SEARCH($A9,INDEX(Index_CT!$D$2:$D$36,MATCH(BD$3,Index_CT!$A$2:$A$36,0)))),"X","")</f>
        <v/>
      </c>
      <c r="BE9" s="39" t="str">
        <f>IF(ISNUMBER(SEARCH($A9,INDEX(Index_CT!$D$2:$D$36,MATCH(BE$3,Index_CT!$A$2:$A$36,0)))),"X","")</f>
        <v/>
      </c>
      <c r="BF9" s="39" t="str">
        <f>IF(ISNUMBER(SEARCH($A9,INDEX(Index_CT!$D$2:$D$36,MATCH(BF$3,Index_CT!$A$2:$A$36,0)))),"X","")</f>
        <v/>
      </c>
      <c r="BG9" s="39" t="str">
        <f>IF(ISNUMBER(SEARCH($A9,INDEX(Index_CT!$D$2:$D$36,MATCH(BG$3,Index_CT!$A$2:$A$36,0)))),"X","")</f>
        <v/>
      </c>
      <c r="BH9" s="39" t="str">
        <f>IF(ISNUMBER(SEARCH($A9,INDEX(Index_CT!$D$2:$D$36,MATCH(BH$3,Index_CT!$A$2:$A$36,0)))),"X","")</f>
        <v/>
      </c>
      <c r="BI9" s="39" t="str">
        <f>IF(ISNUMBER(SEARCH($A9,INDEX(Index_CT!$D$2:$D$36,MATCH(BI$3,Index_CT!$A$2:$A$36,0)))),"X","")</f>
        <v/>
      </c>
      <c r="BJ9" s="39" t="str">
        <f>IF(ISNUMBER(SEARCH($A9,INDEX(Index_CT!$D$2:$D$36,MATCH(BJ$3,Index_CT!$A$2:$A$36,0)))),"X","")</f>
        <v/>
      </c>
      <c r="BK9" s="39" t="str">
        <f>IF(ISNUMBER(SEARCH($A9,INDEX(Index_CT!$D$2:$D$36,MATCH(BK$3,Index_CT!$A$2:$A$36,0)))),"X","")</f>
        <v/>
      </c>
      <c r="BL9" s="39" t="str">
        <f>IF(ISNUMBER(SEARCH($A9,INDEX(Index_CT!$D$2:$D$36,MATCH(BL$3,Index_CT!$A$2:$A$36,0)))),"X","")</f>
        <v/>
      </c>
      <c r="BM9" s="39" t="str">
        <f>IF(ISNUMBER(SEARCH($A9,INDEX(Index_CT!$D$2:$D$36,MATCH(BM$3,Index_CT!$A$2:$A$36,0)))),"X","")</f>
        <v/>
      </c>
      <c r="BN9" s="39" t="str">
        <f>IF(ISNUMBER(SEARCH($A9,INDEX(Index_CT!$D$2:$D$36,MATCH(BN$3,Index_CT!$A$2:$A$36,0)))),"X","")</f>
        <v/>
      </c>
      <c r="BO9" s="39" t="str">
        <f>IF(ISNUMBER(SEARCH($A9,INDEX(Index_CT!$D$2:$D$36,MATCH(BO$3,Index_CT!$A$2:$A$36,0)))),"X","")</f>
        <v/>
      </c>
      <c r="BP9" s="39" t="str">
        <f>IF(ISNUMBER(SEARCH($A9,INDEX(Index_CT!$D$2:$D$36,MATCH(BP$3,Index_CT!$A$2:$A$36,0)))),"X","")</f>
        <v/>
      </c>
      <c r="BQ9" s="39" t="str">
        <f>IF(ISNUMBER(SEARCH($A9,INDEX(Index_CT!$D$2:$D$36,MATCH(BQ$3,Index_CT!$A$2:$A$36,0)))),"X","")</f>
        <v/>
      </c>
      <c r="BR9" s="39" t="str">
        <f>IF(ISNUMBER(SEARCH($A9,INDEX(Index_CT!$D$2:$D$36,MATCH(BR$3,Index_CT!$A$2:$A$36,0)))),"X","")</f>
        <v/>
      </c>
    </row>
    <row r="10" spans="1:70" x14ac:dyDescent="0.25">
      <c r="A10" s="33" t="s">
        <v>154</v>
      </c>
      <c r="B10" s="34" t="s">
        <v>497</v>
      </c>
      <c r="C10" s="33" t="s">
        <v>53</v>
      </c>
      <c r="D10" s="33">
        <f t="shared" si="0"/>
        <v>2</v>
      </c>
      <c r="E10" s="39" t="str">
        <f>IF(ISNUMBER(SEARCH($A10,INDEX(Index_CT!$D$2:$D$36,MATCH(E$3,Index_CT!$A$2:$A$36,0)))),"X","")</f>
        <v/>
      </c>
      <c r="F10" s="39" t="str">
        <f>IF(ISNUMBER(SEARCH($A10,INDEX(Index_CT!$D$2:$D$36,MATCH(F$3,Index_CT!$A$2:$A$36,0)))),"X","")</f>
        <v/>
      </c>
      <c r="G10" s="39" t="str">
        <f>IF(ISNUMBER(SEARCH($A10,INDEX(Index_CT!$D$2:$D$36,MATCH(G$3,Index_CT!$A$2:$A$36,0)))),"X","")</f>
        <v/>
      </c>
      <c r="H10" s="39" t="str">
        <f>IF(ISNUMBER(SEARCH($A10,INDEX(Index_CT!$D$2:$D$36,MATCH(H$3,Index_CT!$A$2:$A$36,0)))),"X","")</f>
        <v/>
      </c>
      <c r="I10" s="39" t="str">
        <f>IF(ISNUMBER(SEARCH($A10,INDEX(Index_CT!$D$2:$D$36,MATCH(I$3,Index_CT!$A$2:$A$36,0)))),"X","")</f>
        <v/>
      </c>
      <c r="J10" s="39" t="str">
        <f>IF(ISNUMBER(SEARCH($A10,INDEX(Index_CT!$D$2:$D$36,MATCH(J$3,Index_CT!$A$2:$A$36,0)))),"X","")</f>
        <v/>
      </c>
      <c r="K10" s="39" t="str">
        <f>IF(ISNUMBER(SEARCH($A10,INDEX(Index_CT!$D$2:$D$36,MATCH(K$3,Index_CT!$A$2:$A$36,0)))),"X","")</f>
        <v/>
      </c>
      <c r="L10" s="39" t="str">
        <f>IF(ISNUMBER(SEARCH($A10,INDEX(Index_CT!$D$2:$D$36,MATCH(L$3,Index_CT!$A$2:$A$36,0)))),"X","")</f>
        <v/>
      </c>
      <c r="M10" s="39" t="str">
        <f>IF(ISNUMBER(SEARCH($A10,INDEX(Index_CT!$D$2:$D$36,MATCH(M$3,Index_CT!$A$2:$A$36,0)))),"X","")</f>
        <v/>
      </c>
      <c r="N10" s="39" t="str">
        <f>IF(ISNUMBER(SEARCH($A10,INDEX(Index_CT!$D$2:$D$36,MATCH(N$3,Index_CT!$A$2:$A$36,0)))),"X","")</f>
        <v/>
      </c>
      <c r="O10" s="39" t="str">
        <f>IF(ISNUMBER(SEARCH($A10,INDEX(Index_CT!$D$2:$D$36,MATCH(O$3,Index_CT!$A$2:$A$36,0)))),"X","")</f>
        <v>X</v>
      </c>
      <c r="P10" s="39" t="str">
        <f>IF(ISNUMBER(SEARCH($A10,INDEX(Index_CT!$D$2:$D$36,MATCH(P$3,Index_CT!$A$2:$A$36,0)))),"X","")</f>
        <v>X</v>
      </c>
      <c r="Q10" s="39" t="str">
        <f>IF(ISNUMBER(SEARCH($A10,INDEX(Index_CT!$D$2:$D$36,MATCH(Q$3,Index_CT!$A$2:$A$36,0)))),"X","")</f>
        <v/>
      </c>
      <c r="R10" s="39" t="str">
        <f>IF(ISNUMBER(SEARCH($A10,INDEX(Index_CT!$D$2:$D$36,MATCH(R$3,Index_CT!$A$2:$A$36,0)))),"X","")</f>
        <v/>
      </c>
      <c r="S10" s="39" t="str">
        <f>IF(ISNUMBER(SEARCH($A10,INDEX(Index_CT!$D$2:$D$36,MATCH(S$3,Index_CT!$A$2:$A$36,0)))),"X","")</f>
        <v/>
      </c>
      <c r="T10" s="39" t="str">
        <f>IF(ISNUMBER(SEARCH($A10,INDEX(Index_CT!$D$2:$D$36,MATCH(T$3,Index_CT!$A$2:$A$36,0)))),"X","")</f>
        <v/>
      </c>
      <c r="U10" s="39" t="str">
        <f>IF(ISNUMBER(SEARCH($A10,INDEX(Index_CT!$D$2:$D$36,MATCH(U$3,Index_CT!$A$2:$A$36,0)))),"X","")</f>
        <v/>
      </c>
      <c r="V10" s="39" t="str">
        <f>IF(ISNUMBER(SEARCH($A10,INDEX(Index_CT!$D$2:$D$36,MATCH(V$3,Index_CT!$A$2:$A$36,0)))),"X","")</f>
        <v/>
      </c>
      <c r="W10" s="39" t="str">
        <f>IF(ISNUMBER(SEARCH($A10,INDEX(Index_CT!$D$2:$D$36,MATCH(W$3,Index_CT!$A$2:$A$36,0)))),"X","")</f>
        <v/>
      </c>
      <c r="X10" s="39" t="str">
        <f>IF(ISNUMBER(SEARCH($A10,INDEX(Index_CT!$D$2:$D$36,MATCH(X$3,Index_CT!$A$2:$A$36,0)))),"X","")</f>
        <v/>
      </c>
      <c r="Y10" s="39" t="str">
        <f>IF(ISNUMBER(SEARCH($A10,INDEX(Index_CT!$D$2:$D$36,MATCH(Y$3,Index_CT!$A$2:$A$36,0)))),"X","")</f>
        <v/>
      </c>
      <c r="Z10" s="39" t="str">
        <f>IF(ISNUMBER(SEARCH($A10,INDEX(Index_CT!$D$2:$D$36,MATCH(Z$3,Index_CT!$A$2:$A$36,0)))),"X","")</f>
        <v/>
      </c>
      <c r="AA10" s="39" t="str">
        <f>IF(ISNUMBER(SEARCH($A10,INDEX(Index_CT!$D$2:$D$36,MATCH(AA$3,Index_CT!$A$2:$A$36,0)))),"X","")</f>
        <v/>
      </c>
      <c r="AB10" s="39" t="str">
        <f>IF(ISNUMBER(SEARCH($A10,INDEX(Index_CT!$D$2:$D$36,MATCH(AB$3,Index_CT!$A$2:$A$36,0)))),"X","")</f>
        <v/>
      </c>
      <c r="AC10" s="39" t="str">
        <f>IF(ISNUMBER(SEARCH($A10,INDEX(Index_CT!$D$2:$D$36,MATCH(AC$3,Index_CT!$A$2:$A$36,0)))),"X","")</f>
        <v/>
      </c>
      <c r="AD10" s="39" t="str">
        <f>IF(ISNUMBER(SEARCH($A10,INDEX(Index_CT!$D$2:$D$36,MATCH(AD$3,Index_CT!$A$2:$A$36,0)))),"X","")</f>
        <v/>
      </c>
      <c r="AE10" s="39" t="str">
        <f>IF(ISNUMBER(SEARCH($A10,INDEX(Index_CT!$D$2:$D$36,MATCH(AE$3,Index_CT!$A$2:$A$36,0)))),"X","")</f>
        <v/>
      </c>
      <c r="AF10" s="39" t="str">
        <f>IF(ISNUMBER(SEARCH($A10,INDEX(Index_CT!$D$2:$D$36,MATCH(AF$3,Index_CT!$A$2:$A$36,0)))),"X","")</f>
        <v/>
      </c>
      <c r="AG10" s="39" t="str">
        <f>IF(ISNUMBER(SEARCH($A10,INDEX(Index_CT!$D$2:$D$36,MATCH(AG$3,Index_CT!$A$2:$A$36,0)))),"X","")</f>
        <v/>
      </c>
      <c r="AH10" s="39" t="str">
        <f>IF(ISNUMBER(SEARCH($A10,INDEX(Index_CT!$D$2:$D$36,MATCH(AH$3,Index_CT!$A$2:$A$36,0)))),"X","")</f>
        <v/>
      </c>
      <c r="AI10" s="39" t="str">
        <f>IF(ISNUMBER(SEARCH($A10,INDEX(Index_CT!$D$2:$D$36,MATCH(AI$3,Index_CT!$A$2:$A$36,0)))),"X","")</f>
        <v/>
      </c>
      <c r="AJ10" s="39" t="str">
        <f>IF(ISNUMBER(SEARCH($A10,INDEX(Index_CT!$D$2:$D$36,MATCH(AJ$3,Index_CT!$A$2:$A$36,0)))),"X","")</f>
        <v/>
      </c>
      <c r="AK10" s="39" t="str">
        <f>IF(ISNUMBER(SEARCH($A10,INDEX(Index_CT!$D$2:$D$36,MATCH(AK$3,Index_CT!$A$2:$A$36,0)))),"X","")</f>
        <v/>
      </c>
      <c r="AL10" s="39" t="str">
        <f>IF(ISNUMBER(SEARCH($A10,INDEX(Index_CT!$D$2:$D$36,MATCH(AL$3,Index_CT!$A$2:$A$36,0)))),"X","")</f>
        <v/>
      </c>
      <c r="AM10" s="39" t="str">
        <f>IF(ISNUMBER(SEARCH($A10,INDEX(Index_CT!$D$2:$D$36,MATCH(AM$3,Index_CT!$A$2:$A$36,0)))),"X","")</f>
        <v/>
      </c>
      <c r="AN10" s="39" t="str">
        <f>IF(ISNUMBER(SEARCH($A10,INDEX(Index_CT!$D$2:$D$36,MATCH(AN$3,Index_CT!$A$2:$A$36,0)))),"X","")</f>
        <v/>
      </c>
      <c r="AO10" s="39" t="str">
        <f>IF(ISNUMBER(SEARCH($A10,INDEX(Index_CT!$D$2:$D$36,MATCH(AO$3,Index_CT!$A$2:$A$36,0)))),"X","")</f>
        <v/>
      </c>
      <c r="AP10" s="39" t="str">
        <f>IF(ISNUMBER(SEARCH($A10,INDEX(Index_CT!$D$2:$D$36,MATCH(AP$3,Index_CT!$A$2:$A$36,0)))),"X","")</f>
        <v/>
      </c>
      <c r="AQ10" s="39" t="str">
        <f>IF(ISNUMBER(SEARCH($A10,INDEX(Index_CT!$D$2:$D$36,MATCH(AQ$3,Index_CT!$A$2:$A$36,0)))),"X","")</f>
        <v/>
      </c>
      <c r="AR10" s="39" t="str">
        <f>IF(ISNUMBER(SEARCH($A10,INDEX(Index_CT!$D$2:$D$36,MATCH(AR$3,Index_CT!$A$2:$A$36,0)))),"X","")</f>
        <v/>
      </c>
      <c r="AS10" s="39" t="str">
        <f>IF(ISNUMBER(SEARCH($A10,INDEX(Index_CT!$D$2:$D$36,MATCH(AS$3,Index_CT!$A$2:$A$36,0)))),"X","")</f>
        <v/>
      </c>
      <c r="AT10" s="39" t="str">
        <f>IF(ISNUMBER(SEARCH($A10,INDEX(Index_CT!$D$2:$D$36,MATCH(AT$3,Index_CT!$A$2:$A$36,0)))),"X","")</f>
        <v/>
      </c>
      <c r="AU10" s="39" t="str">
        <f>IF(ISNUMBER(SEARCH($A10,INDEX(Index_CT!$D$2:$D$36,MATCH(AU$3,Index_CT!$A$2:$A$36,0)))),"X","")</f>
        <v/>
      </c>
      <c r="AV10" s="39" t="str">
        <f>IF(ISNUMBER(SEARCH($A10,INDEX(Index_CT!$D$2:$D$36,MATCH(AV$3,Index_CT!$A$2:$A$36,0)))),"X","")</f>
        <v/>
      </c>
      <c r="AW10" s="39" t="str">
        <f>IF(ISNUMBER(SEARCH($A10,INDEX(Index_CT!$D$2:$D$36,MATCH(AW$3,Index_CT!$A$2:$A$36,0)))),"X","")</f>
        <v/>
      </c>
      <c r="AX10" s="39" t="str">
        <f>IF(ISNUMBER(SEARCH($A10,INDEX(Index_CT!$D$2:$D$36,MATCH(AX$3,Index_CT!$A$2:$A$36,0)))),"X","")</f>
        <v/>
      </c>
      <c r="AY10" s="39" t="str">
        <f>IF(ISNUMBER(SEARCH($A10,INDEX(Index_CT!$D$2:$D$36,MATCH(AY$3,Index_CT!$A$2:$A$36,0)))),"X","")</f>
        <v/>
      </c>
      <c r="AZ10" s="39" t="str">
        <f>IF(ISNUMBER(SEARCH($A10,INDEX(Index_CT!$D$2:$D$36,MATCH(AZ$3,Index_CT!$A$2:$A$36,0)))),"X","")</f>
        <v/>
      </c>
      <c r="BA10" s="39" t="str">
        <f>IF(ISNUMBER(SEARCH($A10,INDEX(Index_CT!$D$2:$D$36,MATCH(BA$3,Index_CT!$A$2:$A$36,0)))),"X","")</f>
        <v/>
      </c>
      <c r="BB10" s="39" t="str">
        <f>IF(ISNUMBER(SEARCH($A10,INDEX(Index_CT!$D$2:$D$36,MATCH(BB$3,Index_CT!$A$2:$A$36,0)))),"X","")</f>
        <v/>
      </c>
      <c r="BC10" s="39" t="str">
        <f>IF(ISNUMBER(SEARCH($A10,INDEX(Index_CT!$D$2:$D$36,MATCH(BC$3,Index_CT!$A$2:$A$36,0)))),"X","")</f>
        <v/>
      </c>
      <c r="BD10" s="39" t="str">
        <f>IF(ISNUMBER(SEARCH($A10,INDEX(Index_CT!$D$2:$D$36,MATCH(BD$3,Index_CT!$A$2:$A$36,0)))),"X","")</f>
        <v/>
      </c>
      <c r="BE10" s="39" t="str">
        <f>IF(ISNUMBER(SEARCH($A10,INDEX(Index_CT!$D$2:$D$36,MATCH(BE$3,Index_CT!$A$2:$A$36,0)))),"X","")</f>
        <v/>
      </c>
      <c r="BF10" s="39" t="str">
        <f>IF(ISNUMBER(SEARCH($A10,INDEX(Index_CT!$D$2:$D$36,MATCH(BF$3,Index_CT!$A$2:$A$36,0)))),"X","")</f>
        <v/>
      </c>
      <c r="BG10" s="39" t="str">
        <f>IF(ISNUMBER(SEARCH($A10,INDEX(Index_CT!$D$2:$D$36,MATCH(BG$3,Index_CT!$A$2:$A$36,0)))),"X","")</f>
        <v/>
      </c>
      <c r="BH10" s="39" t="str">
        <f>IF(ISNUMBER(SEARCH($A10,INDEX(Index_CT!$D$2:$D$36,MATCH(BH$3,Index_CT!$A$2:$A$36,0)))),"X","")</f>
        <v/>
      </c>
      <c r="BI10" s="39" t="str">
        <f>IF(ISNUMBER(SEARCH($A10,INDEX(Index_CT!$D$2:$D$36,MATCH(BI$3,Index_CT!$A$2:$A$36,0)))),"X","")</f>
        <v/>
      </c>
      <c r="BJ10" s="39" t="str">
        <f>IF(ISNUMBER(SEARCH($A10,INDEX(Index_CT!$D$2:$D$36,MATCH(BJ$3,Index_CT!$A$2:$A$36,0)))),"X","")</f>
        <v/>
      </c>
      <c r="BK10" s="39" t="str">
        <f>IF(ISNUMBER(SEARCH($A10,INDEX(Index_CT!$D$2:$D$36,MATCH(BK$3,Index_CT!$A$2:$A$36,0)))),"X","")</f>
        <v/>
      </c>
      <c r="BL10" s="39" t="str">
        <f>IF(ISNUMBER(SEARCH($A10,INDEX(Index_CT!$D$2:$D$36,MATCH(BL$3,Index_CT!$A$2:$A$36,0)))),"X","")</f>
        <v/>
      </c>
      <c r="BM10" s="39" t="str">
        <f>IF(ISNUMBER(SEARCH($A10,INDEX(Index_CT!$D$2:$D$36,MATCH(BM$3,Index_CT!$A$2:$A$36,0)))),"X","")</f>
        <v/>
      </c>
      <c r="BN10" s="39" t="str">
        <f>IF(ISNUMBER(SEARCH($A10,INDEX(Index_CT!$D$2:$D$36,MATCH(BN$3,Index_CT!$A$2:$A$36,0)))),"X","")</f>
        <v/>
      </c>
      <c r="BO10" s="39" t="str">
        <f>IF(ISNUMBER(SEARCH($A10,INDEX(Index_CT!$D$2:$D$36,MATCH(BO$3,Index_CT!$A$2:$A$36,0)))),"X","")</f>
        <v/>
      </c>
      <c r="BP10" s="39" t="str">
        <f>IF(ISNUMBER(SEARCH($A10,INDEX(Index_CT!$D$2:$D$36,MATCH(BP$3,Index_CT!$A$2:$A$36,0)))),"X","")</f>
        <v/>
      </c>
      <c r="BQ10" s="39" t="str">
        <f>IF(ISNUMBER(SEARCH($A10,INDEX(Index_CT!$D$2:$D$36,MATCH(BQ$3,Index_CT!$A$2:$A$36,0)))),"X","")</f>
        <v/>
      </c>
      <c r="BR10" s="39" t="str">
        <f>IF(ISNUMBER(SEARCH($A10,INDEX(Index_CT!$D$2:$D$36,MATCH(BR$3,Index_CT!$A$2:$A$36,0)))),"X","")</f>
        <v/>
      </c>
    </row>
    <row r="11" spans="1:70" x14ac:dyDescent="0.25">
      <c r="A11" s="33" t="s">
        <v>181</v>
      </c>
      <c r="B11" s="34" t="s">
        <v>500</v>
      </c>
      <c r="C11" s="33" t="s">
        <v>184</v>
      </c>
      <c r="D11" s="33">
        <f t="shared" si="0"/>
        <v>1</v>
      </c>
      <c r="E11" s="39" t="str">
        <f>IF(ISNUMBER(SEARCH($A11,INDEX(Index_CT!$D$2:$D$36,MATCH(E$3,Index_CT!$A$2:$A$36,0)))),"X","")</f>
        <v/>
      </c>
      <c r="F11" s="39" t="str">
        <f>IF(ISNUMBER(SEARCH($A11,INDEX(Index_CT!$D$2:$D$36,MATCH(F$3,Index_CT!$A$2:$A$36,0)))),"X","")</f>
        <v/>
      </c>
      <c r="G11" s="39" t="str">
        <f>IF(ISNUMBER(SEARCH($A11,INDEX(Index_CT!$D$2:$D$36,MATCH(G$3,Index_CT!$A$2:$A$36,0)))),"X","")</f>
        <v/>
      </c>
      <c r="H11" s="39" t="str">
        <f>IF(ISNUMBER(SEARCH($A11,INDEX(Index_CT!$D$2:$D$36,MATCH(H$3,Index_CT!$A$2:$A$36,0)))),"X","")</f>
        <v/>
      </c>
      <c r="I11" s="39" t="str">
        <f>IF(ISNUMBER(SEARCH($A11,INDEX(Index_CT!$D$2:$D$36,MATCH(I$3,Index_CT!$A$2:$A$36,0)))),"X","")</f>
        <v/>
      </c>
      <c r="J11" s="39" t="str">
        <f>IF(ISNUMBER(SEARCH($A11,INDEX(Index_CT!$D$2:$D$36,MATCH(J$3,Index_CT!$A$2:$A$36,0)))),"X","")</f>
        <v/>
      </c>
      <c r="K11" s="39" t="str">
        <f>IF(ISNUMBER(SEARCH($A11,INDEX(Index_CT!$D$2:$D$36,MATCH(K$3,Index_CT!$A$2:$A$36,0)))),"X","")</f>
        <v/>
      </c>
      <c r="L11" s="39" t="str">
        <f>IF(ISNUMBER(SEARCH($A11,INDEX(Index_CT!$D$2:$D$36,MATCH(L$3,Index_CT!$A$2:$A$36,0)))),"X","")</f>
        <v/>
      </c>
      <c r="M11" s="39" t="str">
        <f>IF(ISNUMBER(SEARCH($A11,INDEX(Index_CT!$D$2:$D$36,MATCH(M$3,Index_CT!$A$2:$A$36,0)))),"X","")</f>
        <v/>
      </c>
      <c r="N11" s="39" t="str">
        <f>IF(ISNUMBER(SEARCH($A11,INDEX(Index_CT!$D$2:$D$36,MATCH(N$3,Index_CT!$A$2:$A$36,0)))),"X","")</f>
        <v/>
      </c>
      <c r="O11" s="39" t="str">
        <f>IF(ISNUMBER(SEARCH($A11,INDEX(Index_CT!$D$2:$D$36,MATCH(O$3,Index_CT!$A$2:$A$36,0)))),"X","")</f>
        <v/>
      </c>
      <c r="P11" s="39" t="str">
        <f>IF(ISNUMBER(SEARCH($A11,INDEX(Index_CT!$D$2:$D$36,MATCH(P$3,Index_CT!$A$2:$A$36,0)))),"X","")</f>
        <v/>
      </c>
      <c r="Q11" s="39" t="str">
        <f>IF(ISNUMBER(SEARCH($A11,INDEX(Index_CT!$D$2:$D$36,MATCH(Q$3,Index_CT!$A$2:$A$36,0)))),"X","")</f>
        <v>X</v>
      </c>
      <c r="R11" s="39" t="str">
        <f>IF(ISNUMBER(SEARCH($A11,INDEX(Index_CT!$D$2:$D$36,MATCH(R$3,Index_CT!$A$2:$A$36,0)))),"X","")</f>
        <v/>
      </c>
      <c r="S11" s="39" t="str">
        <f>IF(ISNUMBER(SEARCH($A11,INDEX(Index_CT!$D$2:$D$36,MATCH(S$3,Index_CT!$A$2:$A$36,0)))),"X","")</f>
        <v/>
      </c>
      <c r="T11" s="39" t="str">
        <f>IF(ISNUMBER(SEARCH($A11,INDEX(Index_CT!$D$2:$D$36,MATCH(T$3,Index_CT!$A$2:$A$36,0)))),"X","")</f>
        <v/>
      </c>
      <c r="U11" s="39" t="str">
        <f>IF(ISNUMBER(SEARCH($A11,INDEX(Index_CT!$D$2:$D$36,MATCH(U$3,Index_CT!$A$2:$A$36,0)))),"X","")</f>
        <v/>
      </c>
      <c r="V11" s="39" t="str">
        <f>IF(ISNUMBER(SEARCH($A11,INDEX(Index_CT!$D$2:$D$36,MATCH(V$3,Index_CT!$A$2:$A$36,0)))),"X","")</f>
        <v/>
      </c>
      <c r="W11" s="39" t="str">
        <f>IF(ISNUMBER(SEARCH($A11,INDEX(Index_CT!$D$2:$D$36,MATCH(W$3,Index_CT!$A$2:$A$36,0)))),"X","")</f>
        <v/>
      </c>
      <c r="X11" s="39" t="str">
        <f>IF(ISNUMBER(SEARCH($A11,INDEX(Index_CT!$D$2:$D$36,MATCH(X$3,Index_CT!$A$2:$A$36,0)))),"X","")</f>
        <v/>
      </c>
      <c r="Y11" s="39" t="str">
        <f>IF(ISNUMBER(SEARCH($A11,INDEX(Index_CT!$D$2:$D$36,MATCH(Y$3,Index_CT!$A$2:$A$36,0)))),"X","")</f>
        <v/>
      </c>
      <c r="Z11" s="39" t="str">
        <f>IF(ISNUMBER(SEARCH($A11,INDEX(Index_CT!$D$2:$D$36,MATCH(Z$3,Index_CT!$A$2:$A$36,0)))),"X","")</f>
        <v/>
      </c>
      <c r="AA11" s="39" t="str">
        <f>IF(ISNUMBER(SEARCH($A11,INDEX(Index_CT!$D$2:$D$36,MATCH(AA$3,Index_CT!$A$2:$A$36,0)))),"X","")</f>
        <v/>
      </c>
      <c r="AB11" s="39" t="str">
        <f>IF(ISNUMBER(SEARCH($A11,INDEX(Index_CT!$D$2:$D$36,MATCH(AB$3,Index_CT!$A$2:$A$36,0)))),"X","")</f>
        <v/>
      </c>
      <c r="AC11" s="39" t="str">
        <f>IF(ISNUMBER(SEARCH($A11,INDEX(Index_CT!$D$2:$D$36,MATCH(AC$3,Index_CT!$A$2:$A$36,0)))),"X","")</f>
        <v/>
      </c>
      <c r="AD11" s="39" t="str">
        <f>IF(ISNUMBER(SEARCH($A11,INDEX(Index_CT!$D$2:$D$36,MATCH(AD$3,Index_CT!$A$2:$A$36,0)))),"X","")</f>
        <v/>
      </c>
      <c r="AE11" s="39" t="str">
        <f>IF(ISNUMBER(SEARCH($A11,INDEX(Index_CT!$D$2:$D$36,MATCH(AE$3,Index_CT!$A$2:$A$36,0)))),"X","")</f>
        <v/>
      </c>
      <c r="AF11" s="39" t="str">
        <f>IF(ISNUMBER(SEARCH($A11,INDEX(Index_CT!$D$2:$D$36,MATCH(AF$3,Index_CT!$A$2:$A$36,0)))),"X","")</f>
        <v/>
      </c>
      <c r="AG11" s="39" t="str">
        <f>IF(ISNUMBER(SEARCH($A11,INDEX(Index_CT!$D$2:$D$36,MATCH(AG$3,Index_CT!$A$2:$A$36,0)))),"X","")</f>
        <v/>
      </c>
      <c r="AH11" s="39" t="str">
        <f>IF(ISNUMBER(SEARCH($A11,INDEX(Index_CT!$D$2:$D$36,MATCH(AH$3,Index_CT!$A$2:$A$36,0)))),"X","")</f>
        <v/>
      </c>
      <c r="AI11" s="39" t="str">
        <f>IF(ISNUMBER(SEARCH($A11,INDEX(Index_CT!$D$2:$D$36,MATCH(AI$3,Index_CT!$A$2:$A$36,0)))),"X","")</f>
        <v/>
      </c>
      <c r="AJ11" s="39" t="str">
        <f>IF(ISNUMBER(SEARCH($A11,INDEX(Index_CT!$D$2:$D$36,MATCH(AJ$3,Index_CT!$A$2:$A$36,0)))),"X","")</f>
        <v/>
      </c>
      <c r="AK11" s="39" t="str">
        <f>IF(ISNUMBER(SEARCH($A11,INDEX(Index_CT!$D$2:$D$36,MATCH(AK$3,Index_CT!$A$2:$A$36,0)))),"X","")</f>
        <v/>
      </c>
      <c r="AL11" s="39" t="str">
        <f>IF(ISNUMBER(SEARCH($A11,INDEX(Index_CT!$D$2:$D$36,MATCH(AL$3,Index_CT!$A$2:$A$36,0)))),"X","")</f>
        <v/>
      </c>
      <c r="AM11" s="39" t="str">
        <f>IF(ISNUMBER(SEARCH($A11,INDEX(Index_CT!$D$2:$D$36,MATCH(AM$3,Index_CT!$A$2:$A$36,0)))),"X","")</f>
        <v/>
      </c>
      <c r="AN11" s="39" t="str">
        <f>IF(ISNUMBER(SEARCH($A11,INDEX(Index_CT!$D$2:$D$36,MATCH(AN$3,Index_CT!$A$2:$A$36,0)))),"X","")</f>
        <v/>
      </c>
      <c r="AO11" s="39" t="str">
        <f>IF(ISNUMBER(SEARCH($A11,INDEX(Index_CT!$D$2:$D$36,MATCH(AO$3,Index_CT!$A$2:$A$36,0)))),"X","")</f>
        <v/>
      </c>
      <c r="AP11" s="39" t="str">
        <f>IF(ISNUMBER(SEARCH($A11,INDEX(Index_CT!$D$2:$D$36,MATCH(AP$3,Index_CT!$A$2:$A$36,0)))),"X","")</f>
        <v/>
      </c>
      <c r="AQ11" s="39" t="str">
        <f>IF(ISNUMBER(SEARCH($A11,INDEX(Index_CT!$D$2:$D$36,MATCH(AQ$3,Index_CT!$A$2:$A$36,0)))),"X","")</f>
        <v/>
      </c>
      <c r="AR11" s="39" t="str">
        <f>IF(ISNUMBER(SEARCH($A11,INDEX(Index_CT!$D$2:$D$36,MATCH(AR$3,Index_CT!$A$2:$A$36,0)))),"X","")</f>
        <v/>
      </c>
      <c r="AS11" s="39" t="str">
        <f>IF(ISNUMBER(SEARCH($A11,INDEX(Index_CT!$D$2:$D$36,MATCH(AS$3,Index_CT!$A$2:$A$36,0)))),"X","")</f>
        <v/>
      </c>
      <c r="AT11" s="39" t="str">
        <f>IF(ISNUMBER(SEARCH($A11,INDEX(Index_CT!$D$2:$D$36,MATCH(AT$3,Index_CT!$A$2:$A$36,0)))),"X","")</f>
        <v/>
      </c>
      <c r="AU11" s="39" t="str">
        <f>IF(ISNUMBER(SEARCH($A11,INDEX(Index_CT!$D$2:$D$36,MATCH(AU$3,Index_CT!$A$2:$A$36,0)))),"X","")</f>
        <v/>
      </c>
      <c r="AV11" s="39" t="str">
        <f>IF(ISNUMBER(SEARCH($A11,INDEX(Index_CT!$D$2:$D$36,MATCH(AV$3,Index_CT!$A$2:$A$36,0)))),"X","")</f>
        <v/>
      </c>
      <c r="AW11" s="39" t="str">
        <f>IF(ISNUMBER(SEARCH($A11,INDEX(Index_CT!$D$2:$D$36,MATCH(AW$3,Index_CT!$A$2:$A$36,0)))),"X","")</f>
        <v/>
      </c>
      <c r="AX11" s="39" t="str">
        <f>IF(ISNUMBER(SEARCH($A11,INDEX(Index_CT!$D$2:$D$36,MATCH(AX$3,Index_CT!$A$2:$A$36,0)))),"X","")</f>
        <v/>
      </c>
      <c r="AY11" s="39" t="str">
        <f>IF(ISNUMBER(SEARCH($A11,INDEX(Index_CT!$D$2:$D$36,MATCH(AY$3,Index_CT!$A$2:$A$36,0)))),"X","")</f>
        <v/>
      </c>
      <c r="AZ11" s="39" t="str">
        <f>IF(ISNUMBER(SEARCH($A11,INDEX(Index_CT!$D$2:$D$36,MATCH(AZ$3,Index_CT!$A$2:$A$36,0)))),"X","")</f>
        <v/>
      </c>
      <c r="BA11" s="39" t="str">
        <f>IF(ISNUMBER(SEARCH($A11,INDEX(Index_CT!$D$2:$D$36,MATCH(BA$3,Index_CT!$A$2:$A$36,0)))),"X","")</f>
        <v/>
      </c>
      <c r="BB11" s="39" t="str">
        <f>IF(ISNUMBER(SEARCH($A11,INDEX(Index_CT!$D$2:$D$36,MATCH(BB$3,Index_CT!$A$2:$A$36,0)))),"X","")</f>
        <v/>
      </c>
      <c r="BC11" s="39" t="str">
        <f>IF(ISNUMBER(SEARCH($A11,INDEX(Index_CT!$D$2:$D$36,MATCH(BC$3,Index_CT!$A$2:$A$36,0)))),"X","")</f>
        <v/>
      </c>
      <c r="BD11" s="39" t="str">
        <f>IF(ISNUMBER(SEARCH($A11,INDEX(Index_CT!$D$2:$D$36,MATCH(BD$3,Index_CT!$A$2:$A$36,0)))),"X","")</f>
        <v/>
      </c>
      <c r="BE11" s="39" t="str">
        <f>IF(ISNUMBER(SEARCH($A11,INDEX(Index_CT!$D$2:$D$36,MATCH(BE$3,Index_CT!$A$2:$A$36,0)))),"X","")</f>
        <v/>
      </c>
      <c r="BF11" s="39" t="str">
        <f>IF(ISNUMBER(SEARCH($A11,INDEX(Index_CT!$D$2:$D$36,MATCH(BF$3,Index_CT!$A$2:$A$36,0)))),"X","")</f>
        <v/>
      </c>
      <c r="BG11" s="39" t="str">
        <f>IF(ISNUMBER(SEARCH($A11,INDEX(Index_CT!$D$2:$D$36,MATCH(BG$3,Index_CT!$A$2:$A$36,0)))),"X","")</f>
        <v/>
      </c>
      <c r="BH11" s="39" t="str">
        <f>IF(ISNUMBER(SEARCH($A11,INDEX(Index_CT!$D$2:$D$36,MATCH(BH$3,Index_CT!$A$2:$A$36,0)))),"X","")</f>
        <v/>
      </c>
      <c r="BI11" s="39" t="str">
        <f>IF(ISNUMBER(SEARCH($A11,INDEX(Index_CT!$D$2:$D$36,MATCH(BI$3,Index_CT!$A$2:$A$36,0)))),"X","")</f>
        <v/>
      </c>
      <c r="BJ11" s="39" t="str">
        <f>IF(ISNUMBER(SEARCH($A11,INDEX(Index_CT!$D$2:$D$36,MATCH(BJ$3,Index_CT!$A$2:$A$36,0)))),"X","")</f>
        <v/>
      </c>
      <c r="BK11" s="39" t="str">
        <f>IF(ISNUMBER(SEARCH($A11,INDEX(Index_CT!$D$2:$D$36,MATCH(BK$3,Index_CT!$A$2:$A$36,0)))),"X","")</f>
        <v/>
      </c>
      <c r="BL11" s="39" t="str">
        <f>IF(ISNUMBER(SEARCH($A11,INDEX(Index_CT!$D$2:$D$36,MATCH(BL$3,Index_CT!$A$2:$A$36,0)))),"X","")</f>
        <v/>
      </c>
      <c r="BM11" s="39" t="str">
        <f>IF(ISNUMBER(SEARCH($A11,INDEX(Index_CT!$D$2:$D$36,MATCH(BM$3,Index_CT!$A$2:$A$36,0)))),"X","")</f>
        <v/>
      </c>
      <c r="BN11" s="39" t="str">
        <f>IF(ISNUMBER(SEARCH($A11,INDEX(Index_CT!$D$2:$D$36,MATCH(BN$3,Index_CT!$A$2:$A$36,0)))),"X","")</f>
        <v/>
      </c>
      <c r="BO11" s="39" t="str">
        <f>IF(ISNUMBER(SEARCH($A11,INDEX(Index_CT!$D$2:$D$36,MATCH(BO$3,Index_CT!$A$2:$A$36,0)))),"X","")</f>
        <v/>
      </c>
      <c r="BP11" s="39" t="str">
        <f>IF(ISNUMBER(SEARCH($A11,INDEX(Index_CT!$D$2:$D$36,MATCH(BP$3,Index_CT!$A$2:$A$36,0)))),"X","")</f>
        <v/>
      </c>
      <c r="BQ11" s="39" t="str">
        <f>IF(ISNUMBER(SEARCH($A11,INDEX(Index_CT!$D$2:$D$36,MATCH(BQ$3,Index_CT!$A$2:$A$36,0)))),"X","")</f>
        <v/>
      </c>
      <c r="BR11" s="39" t="str">
        <f>IF(ISNUMBER(SEARCH($A11,INDEX(Index_CT!$D$2:$D$36,MATCH(BR$3,Index_CT!$A$2:$A$36,0)))),"X","")</f>
        <v/>
      </c>
    </row>
    <row r="12" spans="1:70" x14ac:dyDescent="0.25">
      <c r="A12" s="33" t="s">
        <v>193</v>
      </c>
      <c r="B12" s="34" t="s">
        <v>503</v>
      </c>
      <c r="C12" s="33" t="s">
        <v>184</v>
      </c>
      <c r="D12" s="33">
        <f t="shared" si="0"/>
        <v>1</v>
      </c>
      <c r="E12" s="39" t="str">
        <f>IF(ISNUMBER(SEARCH($A12,INDEX(Index_CT!$D$2:$D$36,MATCH(E$3,Index_CT!$A$2:$A$36,0)))),"X","")</f>
        <v/>
      </c>
      <c r="F12" s="39" t="str">
        <f>IF(ISNUMBER(SEARCH($A12,INDEX(Index_CT!$D$2:$D$36,MATCH(F$3,Index_CT!$A$2:$A$36,0)))),"X","")</f>
        <v/>
      </c>
      <c r="G12" s="39" t="str">
        <f>IF(ISNUMBER(SEARCH($A12,INDEX(Index_CT!$D$2:$D$36,MATCH(G$3,Index_CT!$A$2:$A$36,0)))),"X","")</f>
        <v/>
      </c>
      <c r="H12" s="39" t="str">
        <f>IF(ISNUMBER(SEARCH($A12,INDEX(Index_CT!$D$2:$D$36,MATCH(H$3,Index_CT!$A$2:$A$36,0)))),"X","")</f>
        <v/>
      </c>
      <c r="I12" s="39" t="str">
        <f>IF(ISNUMBER(SEARCH($A12,INDEX(Index_CT!$D$2:$D$36,MATCH(I$3,Index_CT!$A$2:$A$36,0)))),"X","")</f>
        <v/>
      </c>
      <c r="J12" s="39" t="str">
        <f>IF(ISNUMBER(SEARCH($A12,INDEX(Index_CT!$D$2:$D$36,MATCH(J$3,Index_CT!$A$2:$A$36,0)))),"X","")</f>
        <v/>
      </c>
      <c r="K12" s="39" t="str">
        <f>IF(ISNUMBER(SEARCH($A12,INDEX(Index_CT!$D$2:$D$36,MATCH(K$3,Index_CT!$A$2:$A$36,0)))),"X","")</f>
        <v/>
      </c>
      <c r="L12" s="39" t="str">
        <f>IF(ISNUMBER(SEARCH($A12,INDEX(Index_CT!$D$2:$D$36,MATCH(L$3,Index_CT!$A$2:$A$36,0)))),"X","")</f>
        <v/>
      </c>
      <c r="M12" s="39" t="str">
        <f>IF(ISNUMBER(SEARCH($A12,INDEX(Index_CT!$D$2:$D$36,MATCH(M$3,Index_CT!$A$2:$A$36,0)))),"X","")</f>
        <v/>
      </c>
      <c r="N12" s="39" t="str">
        <f>IF(ISNUMBER(SEARCH($A12,INDEX(Index_CT!$D$2:$D$36,MATCH(N$3,Index_CT!$A$2:$A$36,0)))),"X","")</f>
        <v/>
      </c>
      <c r="O12" s="39" t="str">
        <f>IF(ISNUMBER(SEARCH($A12,INDEX(Index_CT!$D$2:$D$36,MATCH(O$3,Index_CT!$A$2:$A$36,0)))),"X","")</f>
        <v/>
      </c>
      <c r="P12" s="39" t="str">
        <f>IF(ISNUMBER(SEARCH($A12,INDEX(Index_CT!$D$2:$D$36,MATCH(P$3,Index_CT!$A$2:$A$36,0)))),"X","")</f>
        <v/>
      </c>
      <c r="Q12" s="39" t="str">
        <f>IF(ISNUMBER(SEARCH($A12,INDEX(Index_CT!$D$2:$D$36,MATCH(Q$3,Index_CT!$A$2:$A$36,0)))),"X","")</f>
        <v/>
      </c>
      <c r="R12" s="39" t="str">
        <f>IF(ISNUMBER(SEARCH($A12,INDEX(Index_CT!$D$2:$D$36,MATCH(R$3,Index_CT!$A$2:$A$36,0)))),"X","")</f>
        <v>X</v>
      </c>
      <c r="S12" s="39" t="str">
        <f>IF(ISNUMBER(SEARCH($A12,INDEX(Index_CT!$D$2:$D$36,MATCH(S$3,Index_CT!$A$2:$A$36,0)))),"X","")</f>
        <v/>
      </c>
      <c r="T12" s="39" t="str">
        <f>IF(ISNUMBER(SEARCH($A12,INDEX(Index_CT!$D$2:$D$36,MATCH(T$3,Index_CT!$A$2:$A$36,0)))),"X","")</f>
        <v/>
      </c>
      <c r="U12" s="39" t="str">
        <f>IF(ISNUMBER(SEARCH($A12,INDEX(Index_CT!$D$2:$D$36,MATCH(U$3,Index_CT!$A$2:$A$36,0)))),"X","")</f>
        <v/>
      </c>
      <c r="V12" s="39" t="str">
        <f>IF(ISNUMBER(SEARCH($A12,INDEX(Index_CT!$D$2:$D$36,MATCH(V$3,Index_CT!$A$2:$A$36,0)))),"X","")</f>
        <v/>
      </c>
      <c r="W12" s="39" t="str">
        <f>IF(ISNUMBER(SEARCH($A12,INDEX(Index_CT!$D$2:$D$36,MATCH(W$3,Index_CT!$A$2:$A$36,0)))),"X","")</f>
        <v/>
      </c>
      <c r="X12" s="39" t="str">
        <f>IF(ISNUMBER(SEARCH($A12,INDEX(Index_CT!$D$2:$D$36,MATCH(X$3,Index_CT!$A$2:$A$36,0)))),"X","")</f>
        <v/>
      </c>
      <c r="Y12" s="39" t="str">
        <f>IF(ISNUMBER(SEARCH($A12,INDEX(Index_CT!$D$2:$D$36,MATCH(Y$3,Index_CT!$A$2:$A$36,0)))),"X","")</f>
        <v/>
      </c>
      <c r="Z12" s="39" t="str">
        <f>IF(ISNUMBER(SEARCH($A12,INDEX(Index_CT!$D$2:$D$36,MATCH(Z$3,Index_CT!$A$2:$A$36,0)))),"X","")</f>
        <v/>
      </c>
      <c r="AA12" s="39" t="str">
        <f>IF(ISNUMBER(SEARCH($A12,INDEX(Index_CT!$D$2:$D$36,MATCH(AA$3,Index_CT!$A$2:$A$36,0)))),"X","")</f>
        <v/>
      </c>
      <c r="AB12" s="39" t="str">
        <f>IF(ISNUMBER(SEARCH($A12,INDEX(Index_CT!$D$2:$D$36,MATCH(AB$3,Index_CT!$A$2:$A$36,0)))),"X","")</f>
        <v/>
      </c>
      <c r="AC12" s="39" t="str">
        <f>IF(ISNUMBER(SEARCH($A12,INDEX(Index_CT!$D$2:$D$36,MATCH(AC$3,Index_CT!$A$2:$A$36,0)))),"X","")</f>
        <v/>
      </c>
      <c r="AD12" s="39" t="str">
        <f>IF(ISNUMBER(SEARCH($A12,INDEX(Index_CT!$D$2:$D$36,MATCH(AD$3,Index_CT!$A$2:$A$36,0)))),"X","")</f>
        <v/>
      </c>
      <c r="AE12" s="39" t="str">
        <f>IF(ISNUMBER(SEARCH($A12,INDEX(Index_CT!$D$2:$D$36,MATCH(AE$3,Index_CT!$A$2:$A$36,0)))),"X","")</f>
        <v/>
      </c>
      <c r="AF12" s="39" t="str">
        <f>IF(ISNUMBER(SEARCH($A12,INDEX(Index_CT!$D$2:$D$36,MATCH(AF$3,Index_CT!$A$2:$A$36,0)))),"X","")</f>
        <v/>
      </c>
      <c r="AG12" s="39" t="str">
        <f>IF(ISNUMBER(SEARCH($A12,INDEX(Index_CT!$D$2:$D$36,MATCH(AG$3,Index_CT!$A$2:$A$36,0)))),"X","")</f>
        <v/>
      </c>
      <c r="AH12" s="39" t="str">
        <f>IF(ISNUMBER(SEARCH($A12,INDEX(Index_CT!$D$2:$D$36,MATCH(AH$3,Index_CT!$A$2:$A$36,0)))),"X","")</f>
        <v/>
      </c>
      <c r="AI12" s="39" t="str">
        <f>IF(ISNUMBER(SEARCH($A12,INDEX(Index_CT!$D$2:$D$36,MATCH(AI$3,Index_CT!$A$2:$A$36,0)))),"X","")</f>
        <v/>
      </c>
      <c r="AJ12" s="39" t="str">
        <f>IF(ISNUMBER(SEARCH($A12,INDEX(Index_CT!$D$2:$D$36,MATCH(AJ$3,Index_CT!$A$2:$A$36,0)))),"X","")</f>
        <v/>
      </c>
      <c r="AK12" s="39" t="str">
        <f>IF(ISNUMBER(SEARCH($A12,INDEX(Index_CT!$D$2:$D$36,MATCH(AK$3,Index_CT!$A$2:$A$36,0)))),"X","")</f>
        <v/>
      </c>
      <c r="AL12" s="39" t="str">
        <f>IF(ISNUMBER(SEARCH($A12,INDEX(Index_CT!$D$2:$D$36,MATCH(AL$3,Index_CT!$A$2:$A$36,0)))),"X","")</f>
        <v/>
      </c>
      <c r="AM12" s="39" t="str">
        <f>IF(ISNUMBER(SEARCH($A12,INDEX(Index_CT!$D$2:$D$36,MATCH(AM$3,Index_CT!$A$2:$A$36,0)))),"X","")</f>
        <v/>
      </c>
      <c r="AN12" s="39" t="str">
        <f>IF(ISNUMBER(SEARCH($A12,INDEX(Index_CT!$D$2:$D$36,MATCH(AN$3,Index_CT!$A$2:$A$36,0)))),"X","")</f>
        <v/>
      </c>
      <c r="AO12" s="39" t="str">
        <f>IF(ISNUMBER(SEARCH($A12,INDEX(Index_CT!$D$2:$D$36,MATCH(AO$3,Index_CT!$A$2:$A$36,0)))),"X","")</f>
        <v/>
      </c>
      <c r="AP12" s="39" t="str">
        <f>IF(ISNUMBER(SEARCH($A12,INDEX(Index_CT!$D$2:$D$36,MATCH(AP$3,Index_CT!$A$2:$A$36,0)))),"X","")</f>
        <v/>
      </c>
      <c r="AQ12" s="39" t="str">
        <f>IF(ISNUMBER(SEARCH($A12,INDEX(Index_CT!$D$2:$D$36,MATCH(AQ$3,Index_CT!$A$2:$A$36,0)))),"X","")</f>
        <v/>
      </c>
      <c r="AR12" s="39" t="str">
        <f>IF(ISNUMBER(SEARCH($A12,INDEX(Index_CT!$D$2:$D$36,MATCH(AR$3,Index_CT!$A$2:$A$36,0)))),"X","")</f>
        <v/>
      </c>
      <c r="AS12" s="39" t="str">
        <f>IF(ISNUMBER(SEARCH($A12,INDEX(Index_CT!$D$2:$D$36,MATCH(AS$3,Index_CT!$A$2:$A$36,0)))),"X","")</f>
        <v/>
      </c>
      <c r="AT12" s="39" t="str">
        <f>IF(ISNUMBER(SEARCH($A12,INDEX(Index_CT!$D$2:$D$36,MATCH(AT$3,Index_CT!$A$2:$A$36,0)))),"X","")</f>
        <v/>
      </c>
      <c r="AU12" s="39" t="str">
        <f>IF(ISNUMBER(SEARCH($A12,INDEX(Index_CT!$D$2:$D$36,MATCH(AU$3,Index_CT!$A$2:$A$36,0)))),"X","")</f>
        <v/>
      </c>
      <c r="AV12" s="39" t="str">
        <f>IF(ISNUMBER(SEARCH($A12,INDEX(Index_CT!$D$2:$D$36,MATCH(AV$3,Index_CT!$A$2:$A$36,0)))),"X","")</f>
        <v/>
      </c>
      <c r="AW12" s="39" t="str">
        <f>IF(ISNUMBER(SEARCH($A12,INDEX(Index_CT!$D$2:$D$36,MATCH(AW$3,Index_CT!$A$2:$A$36,0)))),"X","")</f>
        <v/>
      </c>
      <c r="AX12" s="39" t="str">
        <f>IF(ISNUMBER(SEARCH($A12,INDEX(Index_CT!$D$2:$D$36,MATCH(AX$3,Index_CT!$A$2:$A$36,0)))),"X","")</f>
        <v/>
      </c>
      <c r="AY12" s="39" t="str">
        <f>IF(ISNUMBER(SEARCH($A12,INDEX(Index_CT!$D$2:$D$36,MATCH(AY$3,Index_CT!$A$2:$A$36,0)))),"X","")</f>
        <v/>
      </c>
      <c r="AZ12" s="39" t="str">
        <f>IF(ISNUMBER(SEARCH($A12,INDEX(Index_CT!$D$2:$D$36,MATCH(AZ$3,Index_CT!$A$2:$A$36,0)))),"X","")</f>
        <v/>
      </c>
      <c r="BA12" s="39" t="str">
        <f>IF(ISNUMBER(SEARCH($A12,INDEX(Index_CT!$D$2:$D$36,MATCH(BA$3,Index_CT!$A$2:$A$36,0)))),"X","")</f>
        <v/>
      </c>
      <c r="BB12" s="39" t="str">
        <f>IF(ISNUMBER(SEARCH($A12,INDEX(Index_CT!$D$2:$D$36,MATCH(BB$3,Index_CT!$A$2:$A$36,0)))),"X","")</f>
        <v/>
      </c>
      <c r="BC12" s="39" t="str">
        <f>IF(ISNUMBER(SEARCH($A12,INDEX(Index_CT!$D$2:$D$36,MATCH(BC$3,Index_CT!$A$2:$A$36,0)))),"X","")</f>
        <v/>
      </c>
      <c r="BD12" s="39" t="str">
        <f>IF(ISNUMBER(SEARCH($A12,INDEX(Index_CT!$D$2:$D$36,MATCH(BD$3,Index_CT!$A$2:$A$36,0)))),"X","")</f>
        <v/>
      </c>
      <c r="BE12" s="39" t="str">
        <f>IF(ISNUMBER(SEARCH($A12,INDEX(Index_CT!$D$2:$D$36,MATCH(BE$3,Index_CT!$A$2:$A$36,0)))),"X","")</f>
        <v/>
      </c>
      <c r="BF12" s="39" t="str">
        <f>IF(ISNUMBER(SEARCH($A12,INDEX(Index_CT!$D$2:$D$36,MATCH(BF$3,Index_CT!$A$2:$A$36,0)))),"X","")</f>
        <v/>
      </c>
      <c r="BG12" s="39" t="str">
        <f>IF(ISNUMBER(SEARCH($A12,INDEX(Index_CT!$D$2:$D$36,MATCH(BG$3,Index_CT!$A$2:$A$36,0)))),"X","")</f>
        <v/>
      </c>
      <c r="BH12" s="39" t="str">
        <f>IF(ISNUMBER(SEARCH($A12,INDEX(Index_CT!$D$2:$D$36,MATCH(BH$3,Index_CT!$A$2:$A$36,0)))),"X","")</f>
        <v/>
      </c>
      <c r="BI12" s="39" t="str">
        <f>IF(ISNUMBER(SEARCH($A12,INDEX(Index_CT!$D$2:$D$36,MATCH(BI$3,Index_CT!$A$2:$A$36,0)))),"X","")</f>
        <v/>
      </c>
      <c r="BJ12" s="39" t="str">
        <f>IF(ISNUMBER(SEARCH($A12,INDEX(Index_CT!$D$2:$D$36,MATCH(BJ$3,Index_CT!$A$2:$A$36,0)))),"X","")</f>
        <v/>
      </c>
      <c r="BK12" s="39" t="str">
        <f>IF(ISNUMBER(SEARCH($A12,INDEX(Index_CT!$D$2:$D$36,MATCH(BK$3,Index_CT!$A$2:$A$36,0)))),"X","")</f>
        <v/>
      </c>
      <c r="BL12" s="39" t="str">
        <f>IF(ISNUMBER(SEARCH($A12,INDEX(Index_CT!$D$2:$D$36,MATCH(BL$3,Index_CT!$A$2:$A$36,0)))),"X","")</f>
        <v/>
      </c>
      <c r="BM12" s="39" t="str">
        <f>IF(ISNUMBER(SEARCH($A12,INDEX(Index_CT!$D$2:$D$36,MATCH(BM$3,Index_CT!$A$2:$A$36,0)))),"X","")</f>
        <v/>
      </c>
      <c r="BN12" s="39" t="str">
        <f>IF(ISNUMBER(SEARCH($A12,INDEX(Index_CT!$D$2:$D$36,MATCH(BN$3,Index_CT!$A$2:$A$36,0)))),"X","")</f>
        <v/>
      </c>
      <c r="BO12" s="39" t="str">
        <f>IF(ISNUMBER(SEARCH($A12,INDEX(Index_CT!$D$2:$D$36,MATCH(BO$3,Index_CT!$A$2:$A$36,0)))),"X","")</f>
        <v/>
      </c>
      <c r="BP12" s="39" t="str">
        <f>IF(ISNUMBER(SEARCH($A12,INDEX(Index_CT!$D$2:$D$36,MATCH(BP$3,Index_CT!$A$2:$A$36,0)))),"X","")</f>
        <v/>
      </c>
      <c r="BQ12" s="39" t="str">
        <f>IF(ISNUMBER(SEARCH($A12,INDEX(Index_CT!$D$2:$D$36,MATCH(BQ$3,Index_CT!$A$2:$A$36,0)))),"X","")</f>
        <v/>
      </c>
      <c r="BR12" s="39" t="str">
        <f>IF(ISNUMBER(SEARCH($A12,INDEX(Index_CT!$D$2:$D$36,MATCH(BR$3,Index_CT!$A$2:$A$36,0)))),"X","")</f>
        <v/>
      </c>
    </row>
    <row r="13" spans="1:70" x14ac:dyDescent="0.25">
      <c r="A13" s="33" t="s">
        <v>208</v>
      </c>
      <c r="B13" s="34" t="s">
        <v>506</v>
      </c>
      <c r="C13" s="33" t="s">
        <v>53</v>
      </c>
      <c r="D13" s="33">
        <f t="shared" si="0"/>
        <v>2</v>
      </c>
      <c r="E13" s="39" t="str">
        <f>IF(ISNUMBER(SEARCH($A13,INDEX(Index_CT!$D$2:$D$36,MATCH(E$3,Index_CT!$A$2:$A$36,0)))),"X","")</f>
        <v/>
      </c>
      <c r="F13" s="39" t="str">
        <f>IF(ISNUMBER(SEARCH($A13,INDEX(Index_CT!$D$2:$D$36,MATCH(F$3,Index_CT!$A$2:$A$36,0)))),"X","")</f>
        <v/>
      </c>
      <c r="G13" s="39" t="str">
        <f>IF(ISNUMBER(SEARCH($A13,INDEX(Index_CT!$D$2:$D$36,MATCH(G$3,Index_CT!$A$2:$A$36,0)))),"X","")</f>
        <v/>
      </c>
      <c r="H13" s="39" t="str">
        <f>IF(ISNUMBER(SEARCH($A13,INDEX(Index_CT!$D$2:$D$36,MATCH(H$3,Index_CT!$A$2:$A$36,0)))),"X","")</f>
        <v/>
      </c>
      <c r="I13" s="39" t="str">
        <f>IF(ISNUMBER(SEARCH($A13,INDEX(Index_CT!$D$2:$D$36,MATCH(I$3,Index_CT!$A$2:$A$36,0)))),"X","")</f>
        <v/>
      </c>
      <c r="J13" s="39" t="str">
        <f>IF(ISNUMBER(SEARCH($A13,INDEX(Index_CT!$D$2:$D$36,MATCH(J$3,Index_CT!$A$2:$A$36,0)))),"X","")</f>
        <v/>
      </c>
      <c r="K13" s="39" t="str">
        <f>IF(ISNUMBER(SEARCH($A13,INDEX(Index_CT!$D$2:$D$36,MATCH(K$3,Index_CT!$A$2:$A$36,0)))),"X","")</f>
        <v/>
      </c>
      <c r="L13" s="39" t="str">
        <f>IF(ISNUMBER(SEARCH($A13,INDEX(Index_CT!$D$2:$D$36,MATCH(L$3,Index_CT!$A$2:$A$36,0)))),"X","")</f>
        <v/>
      </c>
      <c r="M13" s="39" t="str">
        <f>IF(ISNUMBER(SEARCH($A13,INDEX(Index_CT!$D$2:$D$36,MATCH(M$3,Index_CT!$A$2:$A$36,0)))),"X","")</f>
        <v/>
      </c>
      <c r="N13" s="39" t="str">
        <f>IF(ISNUMBER(SEARCH($A13,INDEX(Index_CT!$D$2:$D$36,MATCH(N$3,Index_CT!$A$2:$A$36,0)))),"X","")</f>
        <v/>
      </c>
      <c r="O13" s="39" t="str">
        <f>IF(ISNUMBER(SEARCH($A13,INDEX(Index_CT!$D$2:$D$36,MATCH(O$3,Index_CT!$A$2:$A$36,0)))),"X","")</f>
        <v/>
      </c>
      <c r="P13" s="39" t="str">
        <f>IF(ISNUMBER(SEARCH($A13,INDEX(Index_CT!$D$2:$D$36,MATCH(P$3,Index_CT!$A$2:$A$36,0)))),"X","")</f>
        <v/>
      </c>
      <c r="Q13" s="39" t="str">
        <f>IF(ISNUMBER(SEARCH($A13,INDEX(Index_CT!$D$2:$D$36,MATCH(Q$3,Index_CT!$A$2:$A$36,0)))),"X","")</f>
        <v/>
      </c>
      <c r="R13" s="39" t="str">
        <f>IF(ISNUMBER(SEARCH($A13,INDEX(Index_CT!$D$2:$D$36,MATCH(R$3,Index_CT!$A$2:$A$36,0)))),"X","")</f>
        <v/>
      </c>
      <c r="S13" s="39" t="str">
        <f>IF(ISNUMBER(SEARCH($A13,INDEX(Index_CT!$D$2:$D$36,MATCH(S$3,Index_CT!$A$2:$A$36,0)))),"X","")</f>
        <v>X</v>
      </c>
      <c r="T13" s="39" t="str">
        <f>IF(ISNUMBER(SEARCH($A13,INDEX(Index_CT!$D$2:$D$36,MATCH(T$3,Index_CT!$A$2:$A$36,0)))),"X","")</f>
        <v>X</v>
      </c>
      <c r="U13" s="39" t="str">
        <f>IF(ISNUMBER(SEARCH($A13,INDEX(Index_CT!$D$2:$D$36,MATCH(U$3,Index_CT!$A$2:$A$36,0)))),"X","")</f>
        <v/>
      </c>
      <c r="V13" s="39" t="str">
        <f>IF(ISNUMBER(SEARCH($A13,INDEX(Index_CT!$D$2:$D$36,MATCH(V$3,Index_CT!$A$2:$A$36,0)))),"X","")</f>
        <v/>
      </c>
      <c r="W13" s="39" t="str">
        <f>IF(ISNUMBER(SEARCH($A13,INDEX(Index_CT!$D$2:$D$36,MATCH(W$3,Index_CT!$A$2:$A$36,0)))),"X","")</f>
        <v/>
      </c>
      <c r="X13" s="39" t="str">
        <f>IF(ISNUMBER(SEARCH($A13,INDEX(Index_CT!$D$2:$D$36,MATCH(X$3,Index_CT!$A$2:$A$36,0)))),"X","")</f>
        <v/>
      </c>
      <c r="Y13" s="39" t="str">
        <f>IF(ISNUMBER(SEARCH($A13,INDEX(Index_CT!$D$2:$D$36,MATCH(Y$3,Index_CT!$A$2:$A$36,0)))),"X","")</f>
        <v/>
      </c>
      <c r="Z13" s="39" t="str">
        <f>IF(ISNUMBER(SEARCH($A13,INDEX(Index_CT!$D$2:$D$36,MATCH(Z$3,Index_CT!$A$2:$A$36,0)))),"X","")</f>
        <v/>
      </c>
      <c r="AA13" s="39" t="str">
        <f>IF(ISNUMBER(SEARCH($A13,INDEX(Index_CT!$D$2:$D$36,MATCH(AA$3,Index_CT!$A$2:$A$36,0)))),"X","")</f>
        <v/>
      </c>
      <c r="AB13" s="39" t="str">
        <f>IF(ISNUMBER(SEARCH($A13,INDEX(Index_CT!$D$2:$D$36,MATCH(AB$3,Index_CT!$A$2:$A$36,0)))),"X","")</f>
        <v/>
      </c>
      <c r="AC13" s="39" t="str">
        <f>IF(ISNUMBER(SEARCH($A13,INDEX(Index_CT!$D$2:$D$36,MATCH(AC$3,Index_CT!$A$2:$A$36,0)))),"X","")</f>
        <v/>
      </c>
      <c r="AD13" s="39" t="str">
        <f>IF(ISNUMBER(SEARCH($A13,INDEX(Index_CT!$D$2:$D$36,MATCH(AD$3,Index_CT!$A$2:$A$36,0)))),"X","")</f>
        <v/>
      </c>
      <c r="AE13" s="39" t="str">
        <f>IF(ISNUMBER(SEARCH($A13,INDEX(Index_CT!$D$2:$D$36,MATCH(AE$3,Index_CT!$A$2:$A$36,0)))),"X","")</f>
        <v/>
      </c>
      <c r="AF13" s="39" t="str">
        <f>IF(ISNUMBER(SEARCH($A13,INDEX(Index_CT!$D$2:$D$36,MATCH(AF$3,Index_CT!$A$2:$A$36,0)))),"X","")</f>
        <v/>
      </c>
      <c r="AG13" s="39" t="str">
        <f>IF(ISNUMBER(SEARCH($A13,INDEX(Index_CT!$D$2:$D$36,MATCH(AG$3,Index_CT!$A$2:$A$36,0)))),"X","")</f>
        <v/>
      </c>
      <c r="AH13" s="39" t="str">
        <f>IF(ISNUMBER(SEARCH($A13,INDEX(Index_CT!$D$2:$D$36,MATCH(AH$3,Index_CT!$A$2:$A$36,0)))),"X","")</f>
        <v/>
      </c>
      <c r="AI13" s="39" t="str">
        <f>IF(ISNUMBER(SEARCH($A13,INDEX(Index_CT!$D$2:$D$36,MATCH(AI$3,Index_CT!$A$2:$A$36,0)))),"X","")</f>
        <v/>
      </c>
      <c r="AJ13" s="39" t="str">
        <f>IF(ISNUMBER(SEARCH($A13,INDEX(Index_CT!$D$2:$D$36,MATCH(AJ$3,Index_CT!$A$2:$A$36,0)))),"X","")</f>
        <v/>
      </c>
      <c r="AK13" s="39" t="str">
        <f>IF(ISNUMBER(SEARCH($A13,INDEX(Index_CT!$D$2:$D$36,MATCH(AK$3,Index_CT!$A$2:$A$36,0)))),"X","")</f>
        <v/>
      </c>
      <c r="AL13" s="39" t="str">
        <f>IF(ISNUMBER(SEARCH($A13,INDEX(Index_CT!$D$2:$D$36,MATCH(AL$3,Index_CT!$A$2:$A$36,0)))),"X","")</f>
        <v/>
      </c>
      <c r="AM13" s="39" t="str">
        <f>IF(ISNUMBER(SEARCH($A13,INDEX(Index_CT!$D$2:$D$36,MATCH(AM$3,Index_CT!$A$2:$A$36,0)))),"X","")</f>
        <v/>
      </c>
      <c r="AN13" s="39" t="str">
        <f>IF(ISNUMBER(SEARCH($A13,INDEX(Index_CT!$D$2:$D$36,MATCH(AN$3,Index_CT!$A$2:$A$36,0)))),"X","")</f>
        <v/>
      </c>
      <c r="AO13" s="39" t="str">
        <f>IF(ISNUMBER(SEARCH($A13,INDEX(Index_CT!$D$2:$D$36,MATCH(AO$3,Index_CT!$A$2:$A$36,0)))),"X","")</f>
        <v/>
      </c>
      <c r="AP13" s="39" t="str">
        <f>IF(ISNUMBER(SEARCH($A13,INDEX(Index_CT!$D$2:$D$36,MATCH(AP$3,Index_CT!$A$2:$A$36,0)))),"X","")</f>
        <v/>
      </c>
      <c r="AQ13" s="39" t="str">
        <f>IF(ISNUMBER(SEARCH($A13,INDEX(Index_CT!$D$2:$D$36,MATCH(AQ$3,Index_CT!$A$2:$A$36,0)))),"X","")</f>
        <v/>
      </c>
      <c r="AR13" s="39" t="str">
        <f>IF(ISNUMBER(SEARCH($A13,INDEX(Index_CT!$D$2:$D$36,MATCH(AR$3,Index_CT!$A$2:$A$36,0)))),"X","")</f>
        <v/>
      </c>
      <c r="AS13" s="39" t="str">
        <f>IF(ISNUMBER(SEARCH($A13,INDEX(Index_CT!$D$2:$D$36,MATCH(AS$3,Index_CT!$A$2:$A$36,0)))),"X","")</f>
        <v/>
      </c>
      <c r="AT13" s="39" t="str">
        <f>IF(ISNUMBER(SEARCH($A13,INDEX(Index_CT!$D$2:$D$36,MATCH(AT$3,Index_CT!$A$2:$A$36,0)))),"X","")</f>
        <v/>
      </c>
      <c r="AU13" s="39" t="str">
        <f>IF(ISNUMBER(SEARCH($A13,INDEX(Index_CT!$D$2:$D$36,MATCH(AU$3,Index_CT!$A$2:$A$36,0)))),"X","")</f>
        <v/>
      </c>
      <c r="AV13" s="39" t="str">
        <f>IF(ISNUMBER(SEARCH($A13,INDEX(Index_CT!$D$2:$D$36,MATCH(AV$3,Index_CT!$A$2:$A$36,0)))),"X","")</f>
        <v/>
      </c>
      <c r="AW13" s="39" t="str">
        <f>IF(ISNUMBER(SEARCH($A13,INDEX(Index_CT!$D$2:$D$36,MATCH(AW$3,Index_CT!$A$2:$A$36,0)))),"X","")</f>
        <v/>
      </c>
      <c r="AX13" s="39" t="str">
        <f>IF(ISNUMBER(SEARCH($A13,INDEX(Index_CT!$D$2:$D$36,MATCH(AX$3,Index_CT!$A$2:$A$36,0)))),"X","")</f>
        <v/>
      </c>
      <c r="AY13" s="39" t="str">
        <f>IF(ISNUMBER(SEARCH($A13,INDEX(Index_CT!$D$2:$D$36,MATCH(AY$3,Index_CT!$A$2:$A$36,0)))),"X","")</f>
        <v/>
      </c>
      <c r="AZ13" s="39" t="str">
        <f>IF(ISNUMBER(SEARCH($A13,INDEX(Index_CT!$D$2:$D$36,MATCH(AZ$3,Index_CT!$A$2:$A$36,0)))),"X","")</f>
        <v/>
      </c>
      <c r="BA13" s="39" t="str">
        <f>IF(ISNUMBER(SEARCH($A13,INDEX(Index_CT!$D$2:$D$36,MATCH(BA$3,Index_CT!$A$2:$A$36,0)))),"X","")</f>
        <v/>
      </c>
      <c r="BB13" s="39" t="str">
        <f>IF(ISNUMBER(SEARCH($A13,INDEX(Index_CT!$D$2:$D$36,MATCH(BB$3,Index_CT!$A$2:$A$36,0)))),"X","")</f>
        <v/>
      </c>
      <c r="BC13" s="39" t="str">
        <f>IF(ISNUMBER(SEARCH($A13,INDEX(Index_CT!$D$2:$D$36,MATCH(BC$3,Index_CT!$A$2:$A$36,0)))),"X","")</f>
        <v/>
      </c>
      <c r="BD13" s="39" t="str">
        <f>IF(ISNUMBER(SEARCH($A13,INDEX(Index_CT!$D$2:$D$36,MATCH(BD$3,Index_CT!$A$2:$A$36,0)))),"X","")</f>
        <v/>
      </c>
      <c r="BE13" s="39" t="str">
        <f>IF(ISNUMBER(SEARCH($A13,INDEX(Index_CT!$D$2:$D$36,MATCH(BE$3,Index_CT!$A$2:$A$36,0)))),"X","")</f>
        <v/>
      </c>
      <c r="BF13" s="39" t="str">
        <f>IF(ISNUMBER(SEARCH($A13,INDEX(Index_CT!$D$2:$D$36,MATCH(BF$3,Index_CT!$A$2:$A$36,0)))),"X","")</f>
        <v/>
      </c>
      <c r="BG13" s="39" t="str">
        <f>IF(ISNUMBER(SEARCH($A13,INDEX(Index_CT!$D$2:$D$36,MATCH(BG$3,Index_CT!$A$2:$A$36,0)))),"X","")</f>
        <v/>
      </c>
      <c r="BH13" s="39" t="str">
        <f>IF(ISNUMBER(SEARCH($A13,INDEX(Index_CT!$D$2:$D$36,MATCH(BH$3,Index_CT!$A$2:$A$36,0)))),"X","")</f>
        <v/>
      </c>
      <c r="BI13" s="39" t="str">
        <f>IF(ISNUMBER(SEARCH($A13,INDEX(Index_CT!$D$2:$D$36,MATCH(BI$3,Index_CT!$A$2:$A$36,0)))),"X","")</f>
        <v/>
      </c>
      <c r="BJ13" s="39" t="str">
        <f>IF(ISNUMBER(SEARCH($A13,INDEX(Index_CT!$D$2:$D$36,MATCH(BJ$3,Index_CT!$A$2:$A$36,0)))),"X","")</f>
        <v/>
      </c>
      <c r="BK13" s="39" t="str">
        <f>IF(ISNUMBER(SEARCH($A13,INDEX(Index_CT!$D$2:$D$36,MATCH(BK$3,Index_CT!$A$2:$A$36,0)))),"X","")</f>
        <v/>
      </c>
      <c r="BL13" s="39" t="str">
        <f>IF(ISNUMBER(SEARCH($A13,INDEX(Index_CT!$D$2:$D$36,MATCH(BL$3,Index_CT!$A$2:$A$36,0)))),"X","")</f>
        <v/>
      </c>
      <c r="BM13" s="39" t="str">
        <f>IF(ISNUMBER(SEARCH($A13,INDEX(Index_CT!$D$2:$D$36,MATCH(BM$3,Index_CT!$A$2:$A$36,0)))),"X","")</f>
        <v/>
      </c>
      <c r="BN13" s="39" t="str">
        <f>IF(ISNUMBER(SEARCH($A13,INDEX(Index_CT!$D$2:$D$36,MATCH(BN$3,Index_CT!$A$2:$A$36,0)))),"X","")</f>
        <v/>
      </c>
      <c r="BO13" s="39" t="str">
        <f>IF(ISNUMBER(SEARCH($A13,INDEX(Index_CT!$D$2:$D$36,MATCH(BO$3,Index_CT!$A$2:$A$36,0)))),"X","")</f>
        <v/>
      </c>
      <c r="BP13" s="39" t="str">
        <f>IF(ISNUMBER(SEARCH($A13,INDEX(Index_CT!$D$2:$D$36,MATCH(BP$3,Index_CT!$A$2:$A$36,0)))),"X","")</f>
        <v/>
      </c>
      <c r="BQ13" s="39" t="str">
        <f>IF(ISNUMBER(SEARCH($A13,INDEX(Index_CT!$D$2:$D$36,MATCH(BQ$3,Index_CT!$A$2:$A$36,0)))),"X","")</f>
        <v/>
      </c>
      <c r="BR13" s="39" t="str">
        <f>IF(ISNUMBER(SEARCH($A13,INDEX(Index_CT!$D$2:$D$36,MATCH(BR$3,Index_CT!$A$2:$A$36,0)))),"X","")</f>
        <v/>
      </c>
    </row>
    <row r="14" spans="1:70" x14ac:dyDescent="0.25">
      <c r="A14" s="33" t="s">
        <v>253</v>
      </c>
      <c r="B14" s="34" t="s">
        <v>509</v>
      </c>
      <c r="C14" s="33" t="s">
        <v>53</v>
      </c>
      <c r="D14" s="33">
        <f t="shared" si="0"/>
        <v>4</v>
      </c>
      <c r="E14" s="39" t="str">
        <f>IF(ISNUMBER(SEARCH($A14,INDEX(Index_CT!$D$2:$D$36,MATCH(E$3,Index_CT!$A$2:$A$36,0)))),"X","")</f>
        <v/>
      </c>
      <c r="F14" s="39" t="str">
        <f>IF(ISNUMBER(SEARCH($A14,INDEX(Index_CT!$D$2:$D$36,MATCH(F$3,Index_CT!$A$2:$A$36,0)))),"X","")</f>
        <v/>
      </c>
      <c r="G14" s="39" t="str">
        <f>IF(ISNUMBER(SEARCH($A14,INDEX(Index_CT!$D$2:$D$36,MATCH(G$3,Index_CT!$A$2:$A$36,0)))),"X","")</f>
        <v/>
      </c>
      <c r="H14" s="39" t="str">
        <f>IF(ISNUMBER(SEARCH($A14,INDEX(Index_CT!$D$2:$D$36,MATCH(H$3,Index_CT!$A$2:$A$36,0)))),"X","")</f>
        <v/>
      </c>
      <c r="I14" s="39" t="str">
        <f>IF(ISNUMBER(SEARCH($A14,INDEX(Index_CT!$D$2:$D$36,MATCH(I$3,Index_CT!$A$2:$A$36,0)))),"X","")</f>
        <v/>
      </c>
      <c r="J14" s="39" t="str">
        <f>IF(ISNUMBER(SEARCH($A14,INDEX(Index_CT!$D$2:$D$36,MATCH(J$3,Index_CT!$A$2:$A$36,0)))),"X","")</f>
        <v/>
      </c>
      <c r="K14" s="39" t="str">
        <f>IF(ISNUMBER(SEARCH($A14,INDEX(Index_CT!$D$2:$D$36,MATCH(K$3,Index_CT!$A$2:$A$36,0)))),"X","")</f>
        <v/>
      </c>
      <c r="L14" s="39" t="str">
        <f>IF(ISNUMBER(SEARCH($A14,INDEX(Index_CT!$D$2:$D$36,MATCH(L$3,Index_CT!$A$2:$A$36,0)))),"X","")</f>
        <v/>
      </c>
      <c r="M14" s="39" t="str">
        <f>IF(ISNUMBER(SEARCH($A14,INDEX(Index_CT!$D$2:$D$36,MATCH(M$3,Index_CT!$A$2:$A$36,0)))),"X","")</f>
        <v/>
      </c>
      <c r="N14" s="39" t="str">
        <f>IF(ISNUMBER(SEARCH($A14,INDEX(Index_CT!$D$2:$D$36,MATCH(N$3,Index_CT!$A$2:$A$36,0)))),"X","")</f>
        <v/>
      </c>
      <c r="O14" s="39" t="str">
        <f>IF(ISNUMBER(SEARCH($A14,INDEX(Index_CT!$D$2:$D$36,MATCH(O$3,Index_CT!$A$2:$A$36,0)))),"X","")</f>
        <v/>
      </c>
      <c r="P14" s="39" t="str">
        <f>IF(ISNUMBER(SEARCH($A14,INDEX(Index_CT!$D$2:$D$36,MATCH(P$3,Index_CT!$A$2:$A$36,0)))),"X","")</f>
        <v/>
      </c>
      <c r="Q14" s="39" t="str">
        <f>IF(ISNUMBER(SEARCH($A14,INDEX(Index_CT!$D$2:$D$36,MATCH(Q$3,Index_CT!$A$2:$A$36,0)))),"X","")</f>
        <v/>
      </c>
      <c r="R14" s="39" t="str">
        <f>IF(ISNUMBER(SEARCH($A14,INDEX(Index_CT!$D$2:$D$36,MATCH(R$3,Index_CT!$A$2:$A$36,0)))),"X","")</f>
        <v/>
      </c>
      <c r="S14" s="39" t="str">
        <f>IF(ISNUMBER(SEARCH($A14,INDEX(Index_CT!$D$2:$D$36,MATCH(S$3,Index_CT!$A$2:$A$36,0)))),"X","")</f>
        <v/>
      </c>
      <c r="T14" s="39" t="str">
        <f>IF(ISNUMBER(SEARCH($A14,INDEX(Index_CT!$D$2:$D$36,MATCH(T$3,Index_CT!$A$2:$A$36,0)))),"X","")</f>
        <v/>
      </c>
      <c r="U14" s="39" t="str">
        <f>IF(ISNUMBER(SEARCH($A14,INDEX(Index_CT!$D$2:$D$36,MATCH(U$3,Index_CT!$A$2:$A$36,0)))),"X","")</f>
        <v/>
      </c>
      <c r="V14" s="39" t="str">
        <f>IF(ISNUMBER(SEARCH($A14,INDEX(Index_CT!$D$2:$D$36,MATCH(V$3,Index_CT!$A$2:$A$36,0)))),"X","")</f>
        <v>X</v>
      </c>
      <c r="W14" s="39" t="str">
        <f>IF(ISNUMBER(SEARCH($A14,INDEX(Index_CT!$D$2:$D$36,MATCH(W$3,Index_CT!$A$2:$A$36,0)))),"X","")</f>
        <v>X</v>
      </c>
      <c r="X14" s="39" t="str">
        <f>IF(ISNUMBER(SEARCH($A14,INDEX(Index_CT!$D$2:$D$36,MATCH(X$3,Index_CT!$A$2:$A$36,0)))),"X","")</f>
        <v>X</v>
      </c>
      <c r="Y14" s="39" t="str">
        <f>IF(ISNUMBER(SEARCH($A14,INDEX(Index_CT!$D$2:$D$36,MATCH(Y$3,Index_CT!$A$2:$A$36,0)))),"X","")</f>
        <v>X</v>
      </c>
      <c r="Z14" s="39" t="str">
        <f>IF(ISNUMBER(SEARCH($A14,INDEX(Index_CT!$D$2:$D$36,MATCH(Z$3,Index_CT!$A$2:$A$36,0)))),"X","")</f>
        <v/>
      </c>
      <c r="AA14" s="39" t="str">
        <f>IF(ISNUMBER(SEARCH($A14,INDEX(Index_CT!$D$2:$D$36,MATCH(AA$3,Index_CT!$A$2:$A$36,0)))),"X","")</f>
        <v/>
      </c>
      <c r="AB14" s="39" t="str">
        <f>IF(ISNUMBER(SEARCH($A14,INDEX(Index_CT!$D$2:$D$36,MATCH(AB$3,Index_CT!$A$2:$A$36,0)))),"X","")</f>
        <v/>
      </c>
      <c r="AC14" s="39" t="str">
        <f>IF(ISNUMBER(SEARCH($A14,INDEX(Index_CT!$D$2:$D$36,MATCH(AC$3,Index_CT!$A$2:$A$36,0)))),"X","")</f>
        <v/>
      </c>
      <c r="AD14" s="39" t="str">
        <f>IF(ISNUMBER(SEARCH($A14,INDEX(Index_CT!$D$2:$D$36,MATCH(AD$3,Index_CT!$A$2:$A$36,0)))),"X","")</f>
        <v/>
      </c>
      <c r="AE14" s="39" t="str">
        <f>IF(ISNUMBER(SEARCH($A14,INDEX(Index_CT!$D$2:$D$36,MATCH(AE$3,Index_CT!$A$2:$A$36,0)))),"X","")</f>
        <v/>
      </c>
      <c r="AF14" s="39" t="str">
        <f>IF(ISNUMBER(SEARCH($A14,INDEX(Index_CT!$D$2:$D$36,MATCH(AF$3,Index_CT!$A$2:$A$36,0)))),"X","")</f>
        <v/>
      </c>
      <c r="AG14" s="39" t="str">
        <f>IF(ISNUMBER(SEARCH($A14,INDEX(Index_CT!$D$2:$D$36,MATCH(AG$3,Index_CT!$A$2:$A$36,0)))),"X","")</f>
        <v/>
      </c>
      <c r="AH14" s="39" t="str">
        <f>IF(ISNUMBER(SEARCH($A14,INDEX(Index_CT!$D$2:$D$36,MATCH(AH$3,Index_CT!$A$2:$A$36,0)))),"X","")</f>
        <v/>
      </c>
      <c r="AI14" s="39" t="str">
        <f>IF(ISNUMBER(SEARCH($A14,INDEX(Index_CT!$D$2:$D$36,MATCH(AI$3,Index_CT!$A$2:$A$36,0)))),"X","")</f>
        <v/>
      </c>
      <c r="AJ14" s="39" t="str">
        <f>IF(ISNUMBER(SEARCH($A14,INDEX(Index_CT!$D$2:$D$36,MATCH(AJ$3,Index_CT!$A$2:$A$36,0)))),"X","")</f>
        <v/>
      </c>
      <c r="AK14" s="39" t="str">
        <f>IF(ISNUMBER(SEARCH($A14,INDEX(Index_CT!$D$2:$D$36,MATCH(AK$3,Index_CT!$A$2:$A$36,0)))),"X","")</f>
        <v/>
      </c>
      <c r="AL14" s="39" t="str">
        <f>IF(ISNUMBER(SEARCH($A14,INDEX(Index_CT!$D$2:$D$36,MATCH(AL$3,Index_CT!$A$2:$A$36,0)))),"X","")</f>
        <v/>
      </c>
      <c r="AM14" s="39" t="str">
        <f>IF(ISNUMBER(SEARCH($A14,INDEX(Index_CT!$D$2:$D$36,MATCH(AM$3,Index_CT!$A$2:$A$36,0)))),"X","")</f>
        <v/>
      </c>
      <c r="AN14" s="39" t="str">
        <f>IF(ISNUMBER(SEARCH($A14,INDEX(Index_CT!$D$2:$D$36,MATCH(AN$3,Index_CT!$A$2:$A$36,0)))),"X","")</f>
        <v/>
      </c>
      <c r="AO14" s="39" t="str">
        <f>IF(ISNUMBER(SEARCH($A14,INDEX(Index_CT!$D$2:$D$36,MATCH(AO$3,Index_CT!$A$2:$A$36,0)))),"X","")</f>
        <v/>
      </c>
      <c r="AP14" s="39" t="str">
        <f>IF(ISNUMBER(SEARCH($A14,INDEX(Index_CT!$D$2:$D$36,MATCH(AP$3,Index_CT!$A$2:$A$36,0)))),"X","")</f>
        <v/>
      </c>
      <c r="AQ14" s="39" t="str">
        <f>IF(ISNUMBER(SEARCH($A14,INDEX(Index_CT!$D$2:$D$36,MATCH(AQ$3,Index_CT!$A$2:$A$36,0)))),"X","")</f>
        <v/>
      </c>
      <c r="AR14" s="39" t="str">
        <f>IF(ISNUMBER(SEARCH($A14,INDEX(Index_CT!$D$2:$D$36,MATCH(AR$3,Index_CT!$A$2:$A$36,0)))),"X","")</f>
        <v/>
      </c>
      <c r="AS14" s="39" t="str">
        <f>IF(ISNUMBER(SEARCH($A14,INDEX(Index_CT!$D$2:$D$36,MATCH(AS$3,Index_CT!$A$2:$A$36,0)))),"X","")</f>
        <v/>
      </c>
      <c r="AT14" s="39" t="str">
        <f>IF(ISNUMBER(SEARCH($A14,INDEX(Index_CT!$D$2:$D$36,MATCH(AT$3,Index_CT!$A$2:$A$36,0)))),"X","")</f>
        <v/>
      </c>
      <c r="AU14" s="39" t="str">
        <f>IF(ISNUMBER(SEARCH($A14,INDEX(Index_CT!$D$2:$D$36,MATCH(AU$3,Index_CT!$A$2:$A$36,0)))),"X","")</f>
        <v/>
      </c>
      <c r="AV14" s="39" t="str">
        <f>IF(ISNUMBER(SEARCH($A14,INDEX(Index_CT!$D$2:$D$36,MATCH(AV$3,Index_CT!$A$2:$A$36,0)))),"X","")</f>
        <v/>
      </c>
      <c r="AW14" s="39" t="str">
        <f>IF(ISNUMBER(SEARCH($A14,INDEX(Index_CT!$D$2:$D$36,MATCH(AW$3,Index_CT!$A$2:$A$36,0)))),"X","")</f>
        <v/>
      </c>
      <c r="AX14" s="39" t="str">
        <f>IF(ISNUMBER(SEARCH($A14,INDEX(Index_CT!$D$2:$D$36,MATCH(AX$3,Index_CT!$A$2:$A$36,0)))),"X","")</f>
        <v/>
      </c>
      <c r="AY14" s="39" t="str">
        <f>IF(ISNUMBER(SEARCH($A14,INDEX(Index_CT!$D$2:$D$36,MATCH(AY$3,Index_CT!$A$2:$A$36,0)))),"X","")</f>
        <v/>
      </c>
      <c r="AZ14" s="39" t="str">
        <f>IF(ISNUMBER(SEARCH($A14,INDEX(Index_CT!$D$2:$D$36,MATCH(AZ$3,Index_CT!$A$2:$A$36,0)))),"X","")</f>
        <v/>
      </c>
      <c r="BA14" s="39" t="str">
        <f>IF(ISNUMBER(SEARCH($A14,INDEX(Index_CT!$D$2:$D$36,MATCH(BA$3,Index_CT!$A$2:$A$36,0)))),"X","")</f>
        <v/>
      </c>
      <c r="BB14" s="39" t="str">
        <f>IF(ISNUMBER(SEARCH($A14,INDEX(Index_CT!$D$2:$D$36,MATCH(BB$3,Index_CT!$A$2:$A$36,0)))),"X","")</f>
        <v/>
      </c>
      <c r="BC14" s="39" t="str">
        <f>IF(ISNUMBER(SEARCH($A14,INDEX(Index_CT!$D$2:$D$36,MATCH(BC$3,Index_CT!$A$2:$A$36,0)))),"X","")</f>
        <v/>
      </c>
      <c r="BD14" s="39" t="str">
        <f>IF(ISNUMBER(SEARCH($A14,INDEX(Index_CT!$D$2:$D$36,MATCH(BD$3,Index_CT!$A$2:$A$36,0)))),"X","")</f>
        <v/>
      </c>
      <c r="BE14" s="39" t="str">
        <f>IF(ISNUMBER(SEARCH($A14,INDEX(Index_CT!$D$2:$D$36,MATCH(BE$3,Index_CT!$A$2:$A$36,0)))),"X","")</f>
        <v/>
      </c>
      <c r="BF14" s="39" t="str">
        <f>IF(ISNUMBER(SEARCH($A14,INDEX(Index_CT!$D$2:$D$36,MATCH(BF$3,Index_CT!$A$2:$A$36,0)))),"X","")</f>
        <v/>
      </c>
      <c r="BG14" s="39" t="str">
        <f>IF(ISNUMBER(SEARCH($A14,INDEX(Index_CT!$D$2:$D$36,MATCH(BG$3,Index_CT!$A$2:$A$36,0)))),"X","")</f>
        <v/>
      </c>
      <c r="BH14" s="39" t="str">
        <f>IF(ISNUMBER(SEARCH($A14,INDEX(Index_CT!$D$2:$D$36,MATCH(BH$3,Index_CT!$A$2:$A$36,0)))),"X","")</f>
        <v/>
      </c>
      <c r="BI14" s="39" t="str">
        <f>IF(ISNUMBER(SEARCH($A14,INDEX(Index_CT!$D$2:$D$36,MATCH(BI$3,Index_CT!$A$2:$A$36,0)))),"X","")</f>
        <v/>
      </c>
      <c r="BJ14" s="39" t="str">
        <f>IF(ISNUMBER(SEARCH($A14,INDEX(Index_CT!$D$2:$D$36,MATCH(BJ$3,Index_CT!$A$2:$A$36,0)))),"X","")</f>
        <v/>
      </c>
      <c r="BK14" s="39" t="str">
        <f>IF(ISNUMBER(SEARCH($A14,INDEX(Index_CT!$D$2:$D$36,MATCH(BK$3,Index_CT!$A$2:$A$36,0)))),"X","")</f>
        <v/>
      </c>
      <c r="BL14" s="39" t="str">
        <f>IF(ISNUMBER(SEARCH($A14,INDEX(Index_CT!$D$2:$D$36,MATCH(BL$3,Index_CT!$A$2:$A$36,0)))),"X","")</f>
        <v/>
      </c>
      <c r="BM14" s="39" t="str">
        <f>IF(ISNUMBER(SEARCH($A14,INDEX(Index_CT!$D$2:$D$36,MATCH(BM$3,Index_CT!$A$2:$A$36,0)))),"X","")</f>
        <v/>
      </c>
      <c r="BN14" s="39" t="str">
        <f>IF(ISNUMBER(SEARCH($A14,INDEX(Index_CT!$D$2:$D$36,MATCH(BN$3,Index_CT!$A$2:$A$36,0)))),"X","")</f>
        <v/>
      </c>
      <c r="BO14" s="39" t="str">
        <f>IF(ISNUMBER(SEARCH($A14,INDEX(Index_CT!$D$2:$D$36,MATCH(BO$3,Index_CT!$A$2:$A$36,0)))),"X","")</f>
        <v/>
      </c>
      <c r="BP14" s="39" t="str">
        <f>IF(ISNUMBER(SEARCH($A14,INDEX(Index_CT!$D$2:$D$36,MATCH(BP$3,Index_CT!$A$2:$A$36,0)))),"X","")</f>
        <v/>
      </c>
      <c r="BQ14" s="39" t="str">
        <f>IF(ISNUMBER(SEARCH($A14,INDEX(Index_CT!$D$2:$D$36,MATCH(BQ$3,Index_CT!$A$2:$A$36,0)))),"X","")</f>
        <v/>
      </c>
      <c r="BR14" s="39" t="str">
        <f>IF(ISNUMBER(SEARCH($A14,INDEX(Index_CT!$D$2:$D$36,MATCH(BR$3,Index_CT!$A$2:$A$36,0)))),"X","")</f>
        <v/>
      </c>
    </row>
    <row r="15" spans="1:70" x14ac:dyDescent="0.25">
      <c r="A15" s="33" t="s">
        <v>297</v>
      </c>
      <c r="B15" s="34" t="s">
        <v>512</v>
      </c>
      <c r="C15" s="33" t="s">
        <v>53</v>
      </c>
      <c r="D15" s="33">
        <f t="shared" si="0"/>
        <v>1</v>
      </c>
      <c r="E15" s="39" t="str">
        <f>IF(ISNUMBER(SEARCH($A15,INDEX(Index_CT!$D$2:$D$36,MATCH(E$3,Index_CT!$A$2:$A$36,0)))),"X","")</f>
        <v/>
      </c>
      <c r="F15" s="39" t="str">
        <f>IF(ISNUMBER(SEARCH($A15,INDEX(Index_CT!$D$2:$D$36,MATCH(F$3,Index_CT!$A$2:$A$36,0)))),"X","")</f>
        <v/>
      </c>
      <c r="G15" s="39" t="str">
        <f>IF(ISNUMBER(SEARCH($A15,INDEX(Index_CT!$D$2:$D$36,MATCH(G$3,Index_CT!$A$2:$A$36,0)))),"X","")</f>
        <v/>
      </c>
      <c r="H15" s="39" t="str">
        <f>IF(ISNUMBER(SEARCH($A15,INDEX(Index_CT!$D$2:$D$36,MATCH(H$3,Index_CT!$A$2:$A$36,0)))),"X","")</f>
        <v/>
      </c>
      <c r="I15" s="39" t="str">
        <f>IF(ISNUMBER(SEARCH($A15,INDEX(Index_CT!$D$2:$D$36,MATCH(I$3,Index_CT!$A$2:$A$36,0)))),"X","")</f>
        <v/>
      </c>
      <c r="J15" s="39" t="str">
        <f>IF(ISNUMBER(SEARCH($A15,INDEX(Index_CT!$D$2:$D$36,MATCH(J$3,Index_CT!$A$2:$A$36,0)))),"X","")</f>
        <v/>
      </c>
      <c r="K15" s="39" t="str">
        <f>IF(ISNUMBER(SEARCH($A15,INDEX(Index_CT!$D$2:$D$36,MATCH(K$3,Index_CT!$A$2:$A$36,0)))),"X","")</f>
        <v/>
      </c>
      <c r="L15" s="39" t="str">
        <f>IF(ISNUMBER(SEARCH($A15,INDEX(Index_CT!$D$2:$D$36,MATCH(L$3,Index_CT!$A$2:$A$36,0)))),"X","")</f>
        <v/>
      </c>
      <c r="M15" s="39" t="str">
        <f>IF(ISNUMBER(SEARCH($A15,INDEX(Index_CT!$D$2:$D$36,MATCH(M$3,Index_CT!$A$2:$A$36,0)))),"X","")</f>
        <v/>
      </c>
      <c r="N15" s="39" t="str">
        <f>IF(ISNUMBER(SEARCH($A15,INDEX(Index_CT!$D$2:$D$36,MATCH(N$3,Index_CT!$A$2:$A$36,0)))),"X","")</f>
        <v/>
      </c>
      <c r="O15" s="39" t="str">
        <f>IF(ISNUMBER(SEARCH($A15,INDEX(Index_CT!$D$2:$D$36,MATCH(O$3,Index_CT!$A$2:$A$36,0)))),"X","")</f>
        <v/>
      </c>
      <c r="P15" s="39" t="str">
        <f>IF(ISNUMBER(SEARCH($A15,INDEX(Index_CT!$D$2:$D$36,MATCH(P$3,Index_CT!$A$2:$A$36,0)))),"X","")</f>
        <v/>
      </c>
      <c r="Q15" s="39" t="str">
        <f>IF(ISNUMBER(SEARCH($A15,INDEX(Index_CT!$D$2:$D$36,MATCH(Q$3,Index_CT!$A$2:$A$36,0)))),"X","")</f>
        <v/>
      </c>
      <c r="R15" s="39" t="str">
        <f>IF(ISNUMBER(SEARCH($A15,INDEX(Index_CT!$D$2:$D$36,MATCH(R$3,Index_CT!$A$2:$A$36,0)))),"X","")</f>
        <v/>
      </c>
      <c r="S15" s="39" t="str">
        <f>IF(ISNUMBER(SEARCH($A15,INDEX(Index_CT!$D$2:$D$36,MATCH(S$3,Index_CT!$A$2:$A$36,0)))),"X","")</f>
        <v/>
      </c>
      <c r="T15" s="39" t="str">
        <f>IF(ISNUMBER(SEARCH($A15,INDEX(Index_CT!$D$2:$D$36,MATCH(T$3,Index_CT!$A$2:$A$36,0)))),"X","")</f>
        <v/>
      </c>
      <c r="U15" s="39" t="str">
        <f>IF(ISNUMBER(SEARCH($A15,INDEX(Index_CT!$D$2:$D$36,MATCH(U$3,Index_CT!$A$2:$A$36,0)))),"X","")</f>
        <v/>
      </c>
      <c r="V15" s="39" t="str">
        <f>IF(ISNUMBER(SEARCH($A15,INDEX(Index_CT!$D$2:$D$36,MATCH(V$3,Index_CT!$A$2:$A$36,0)))),"X","")</f>
        <v/>
      </c>
      <c r="W15" s="39" t="str">
        <f>IF(ISNUMBER(SEARCH($A15,INDEX(Index_CT!$D$2:$D$36,MATCH(W$3,Index_CT!$A$2:$A$36,0)))),"X","")</f>
        <v/>
      </c>
      <c r="X15" s="39" t="str">
        <f>IF(ISNUMBER(SEARCH($A15,INDEX(Index_CT!$D$2:$D$36,MATCH(X$3,Index_CT!$A$2:$A$36,0)))),"X","")</f>
        <v/>
      </c>
      <c r="Y15" s="39" t="str">
        <f>IF(ISNUMBER(SEARCH($A15,INDEX(Index_CT!$D$2:$D$36,MATCH(Y$3,Index_CT!$A$2:$A$36,0)))),"X","")</f>
        <v/>
      </c>
      <c r="Z15" s="39" t="str">
        <f>IF(ISNUMBER(SEARCH($A15,INDEX(Index_CT!$D$2:$D$36,MATCH(Z$3,Index_CT!$A$2:$A$36,0)))),"X","")</f>
        <v>X</v>
      </c>
      <c r="AA15" s="39" t="str">
        <f>IF(ISNUMBER(SEARCH($A15,INDEX(Index_CT!$D$2:$D$36,MATCH(AA$3,Index_CT!$A$2:$A$36,0)))),"X","")</f>
        <v/>
      </c>
      <c r="AB15" s="39" t="str">
        <f>IF(ISNUMBER(SEARCH($A15,INDEX(Index_CT!$D$2:$D$36,MATCH(AB$3,Index_CT!$A$2:$A$36,0)))),"X","")</f>
        <v/>
      </c>
      <c r="AC15" s="39" t="str">
        <f>IF(ISNUMBER(SEARCH($A15,INDEX(Index_CT!$D$2:$D$36,MATCH(AC$3,Index_CT!$A$2:$A$36,0)))),"X","")</f>
        <v/>
      </c>
      <c r="AD15" s="39" t="str">
        <f>IF(ISNUMBER(SEARCH($A15,INDEX(Index_CT!$D$2:$D$36,MATCH(AD$3,Index_CT!$A$2:$A$36,0)))),"X","")</f>
        <v/>
      </c>
      <c r="AE15" s="39" t="str">
        <f>IF(ISNUMBER(SEARCH($A15,INDEX(Index_CT!$D$2:$D$36,MATCH(AE$3,Index_CT!$A$2:$A$36,0)))),"X","")</f>
        <v/>
      </c>
      <c r="AF15" s="39" t="str">
        <f>IF(ISNUMBER(SEARCH($A15,INDEX(Index_CT!$D$2:$D$36,MATCH(AF$3,Index_CT!$A$2:$A$36,0)))),"X","")</f>
        <v/>
      </c>
      <c r="AG15" s="39" t="str">
        <f>IF(ISNUMBER(SEARCH($A15,INDEX(Index_CT!$D$2:$D$36,MATCH(AG$3,Index_CT!$A$2:$A$36,0)))),"X","")</f>
        <v/>
      </c>
      <c r="AH15" s="39" t="str">
        <f>IF(ISNUMBER(SEARCH($A15,INDEX(Index_CT!$D$2:$D$36,MATCH(AH$3,Index_CT!$A$2:$A$36,0)))),"X","")</f>
        <v/>
      </c>
      <c r="AI15" s="39" t="str">
        <f>IF(ISNUMBER(SEARCH($A15,INDEX(Index_CT!$D$2:$D$36,MATCH(AI$3,Index_CT!$A$2:$A$36,0)))),"X","")</f>
        <v/>
      </c>
      <c r="AJ15" s="39" t="str">
        <f>IF(ISNUMBER(SEARCH($A15,INDEX(Index_CT!$D$2:$D$36,MATCH(AJ$3,Index_CT!$A$2:$A$36,0)))),"X","")</f>
        <v/>
      </c>
      <c r="AK15" s="39" t="str">
        <f>IF(ISNUMBER(SEARCH($A15,INDEX(Index_CT!$D$2:$D$36,MATCH(AK$3,Index_CT!$A$2:$A$36,0)))),"X","")</f>
        <v/>
      </c>
      <c r="AL15" s="39" t="str">
        <f>IF(ISNUMBER(SEARCH($A15,INDEX(Index_CT!$D$2:$D$36,MATCH(AL$3,Index_CT!$A$2:$A$36,0)))),"X","")</f>
        <v/>
      </c>
      <c r="AM15" s="39" t="str">
        <f>IF(ISNUMBER(SEARCH($A15,INDEX(Index_CT!$D$2:$D$36,MATCH(AM$3,Index_CT!$A$2:$A$36,0)))),"X","")</f>
        <v/>
      </c>
      <c r="AN15" s="39" t="str">
        <f>IF(ISNUMBER(SEARCH($A15,INDEX(Index_CT!$D$2:$D$36,MATCH(AN$3,Index_CT!$A$2:$A$36,0)))),"X","")</f>
        <v/>
      </c>
      <c r="AO15" s="39" t="str">
        <f>IF(ISNUMBER(SEARCH($A15,INDEX(Index_CT!$D$2:$D$36,MATCH(AO$3,Index_CT!$A$2:$A$36,0)))),"X","")</f>
        <v/>
      </c>
      <c r="AP15" s="39" t="str">
        <f>IF(ISNUMBER(SEARCH($A15,INDEX(Index_CT!$D$2:$D$36,MATCH(AP$3,Index_CT!$A$2:$A$36,0)))),"X","")</f>
        <v/>
      </c>
      <c r="AQ15" s="39" t="str">
        <f>IF(ISNUMBER(SEARCH($A15,INDEX(Index_CT!$D$2:$D$36,MATCH(AQ$3,Index_CT!$A$2:$A$36,0)))),"X","")</f>
        <v/>
      </c>
      <c r="AR15" s="39" t="str">
        <f>IF(ISNUMBER(SEARCH($A15,INDEX(Index_CT!$D$2:$D$36,MATCH(AR$3,Index_CT!$A$2:$A$36,0)))),"X","")</f>
        <v/>
      </c>
      <c r="AS15" s="39" t="str">
        <f>IF(ISNUMBER(SEARCH($A15,INDEX(Index_CT!$D$2:$D$36,MATCH(AS$3,Index_CT!$A$2:$A$36,0)))),"X","")</f>
        <v/>
      </c>
      <c r="AT15" s="39" t="str">
        <f>IF(ISNUMBER(SEARCH($A15,INDEX(Index_CT!$D$2:$D$36,MATCH(AT$3,Index_CT!$A$2:$A$36,0)))),"X","")</f>
        <v/>
      </c>
      <c r="AU15" s="39" t="str">
        <f>IF(ISNUMBER(SEARCH($A15,INDEX(Index_CT!$D$2:$D$36,MATCH(AU$3,Index_CT!$A$2:$A$36,0)))),"X","")</f>
        <v/>
      </c>
      <c r="AV15" s="39" t="str">
        <f>IF(ISNUMBER(SEARCH($A15,INDEX(Index_CT!$D$2:$D$36,MATCH(AV$3,Index_CT!$A$2:$A$36,0)))),"X","")</f>
        <v/>
      </c>
      <c r="AW15" s="39" t="str">
        <f>IF(ISNUMBER(SEARCH($A15,INDEX(Index_CT!$D$2:$D$36,MATCH(AW$3,Index_CT!$A$2:$A$36,0)))),"X","")</f>
        <v/>
      </c>
      <c r="AX15" s="39" t="str">
        <f>IF(ISNUMBER(SEARCH($A15,INDEX(Index_CT!$D$2:$D$36,MATCH(AX$3,Index_CT!$A$2:$A$36,0)))),"X","")</f>
        <v/>
      </c>
      <c r="AY15" s="39" t="str">
        <f>IF(ISNUMBER(SEARCH($A15,INDEX(Index_CT!$D$2:$D$36,MATCH(AY$3,Index_CT!$A$2:$A$36,0)))),"X","")</f>
        <v/>
      </c>
      <c r="AZ15" s="39" t="str">
        <f>IF(ISNUMBER(SEARCH($A15,INDEX(Index_CT!$D$2:$D$36,MATCH(AZ$3,Index_CT!$A$2:$A$36,0)))),"X","")</f>
        <v/>
      </c>
      <c r="BA15" s="39" t="str">
        <f>IF(ISNUMBER(SEARCH($A15,INDEX(Index_CT!$D$2:$D$36,MATCH(BA$3,Index_CT!$A$2:$A$36,0)))),"X","")</f>
        <v/>
      </c>
      <c r="BB15" s="39" t="str">
        <f>IF(ISNUMBER(SEARCH($A15,INDEX(Index_CT!$D$2:$D$36,MATCH(BB$3,Index_CT!$A$2:$A$36,0)))),"X","")</f>
        <v/>
      </c>
      <c r="BC15" s="39" t="str">
        <f>IF(ISNUMBER(SEARCH($A15,INDEX(Index_CT!$D$2:$D$36,MATCH(BC$3,Index_CT!$A$2:$A$36,0)))),"X","")</f>
        <v/>
      </c>
      <c r="BD15" s="39" t="str">
        <f>IF(ISNUMBER(SEARCH($A15,INDEX(Index_CT!$D$2:$D$36,MATCH(BD$3,Index_CT!$A$2:$A$36,0)))),"X","")</f>
        <v/>
      </c>
      <c r="BE15" s="39" t="str">
        <f>IF(ISNUMBER(SEARCH($A15,INDEX(Index_CT!$D$2:$D$36,MATCH(BE$3,Index_CT!$A$2:$A$36,0)))),"X","")</f>
        <v/>
      </c>
      <c r="BF15" s="39" t="str">
        <f>IF(ISNUMBER(SEARCH($A15,INDEX(Index_CT!$D$2:$D$36,MATCH(BF$3,Index_CT!$A$2:$A$36,0)))),"X","")</f>
        <v/>
      </c>
      <c r="BG15" s="39" t="str">
        <f>IF(ISNUMBER(SEARCH($A15,INDEX(Index_CT!$D$2:$D$36,MATCH(BG$3,Index_CT!$A$2:$A$36,0)))),"X","")</f>
        <v/>
      </c>
      <c r="BH15" s="39" t="str">
        <f>IF(ISNUMBER(SEARCH($A15,INDEX(Index_CT!$D$2:$D$36,MATCH(BH$3,Index_CT!$A$2:$A$36,0)))),"X","")</f>
        <v/>
      </c>
      <c r="BI15" s="39" t="str">
        <f>IF(ISNUMBER(SEARCH($A15,INDEX(Index_CT!$D$2:$D$36,MATCH(BI$3,Index_CT!$A$2:$A$36,0)))),"X","")</f>
        <v/>
      </c>
      <c r="BJ15" s="39" t="str">
        <f>IF(ISNUMBER(SEARCH($A15,INDEX(Index_CT!$D$2:$D$36,MATCH(BJ$3,Index_CT!$A$2:$A$36,0)))),"X","")</f>
        <v/>
      </c>
      <c r="BK15" s="39" t="str">
        <f>IF(ISNUMBER(SEARCH($A15,INDEX(Index_CT!$D$2:$D$36,MATCH(BK$3,Index_CT!$A$2:$A$36,0)))),"X","")</f>
        <v/>
      </c>
      <c r="BL15" s="39" t="str">
        <f>IF(ISNUMBER(SEARCH($A15,INDEX(Index_CT!$D$2:$D$36,MATCH(BL$3,Index_CT!$A$2:$A$36,0)))),"X","")</f>
        <v/>
      </c>
      <c r="BM15" s="39" t="str">
        <f>IF(ISNUMBER(SEARCH($A15,INDEX(Index_CT!$D$2:$D$36,MATCH(BM$3,Index_CT!$A$2:$A$36,0)))),"X","")</f>
        <v/>
      </c>
      <c r="BN15" s="39" t="str">
        <f>IF(ISNUMBER(SEARCH($A15,INDEX(Index_CT!$D$2:$D$36,MATCH(BN$3,Index_CT!$A$2:$A$36,0)))),"X","")</f>
        <v/>
      </c>
      <c r="BO15" s="39" t="str">
        <f>IF(ISNUMBER(SEARCH($A15,INDEX(Index_CT!$D$2:$D$36,MATCH(BO$3,Index_CT!$A$2:$A$36,0)))),"X","")</f>
        <v/>
      </c>
      <c r="BP15" s="39" t="str">
        <f>IF(ISNUMBER(SEARCH($A15,INDEX(Index_CT!$D$2:$D$36,MATCH(BP$3,Index_CT!$A$2:$A$36,0)))),"X","")</f>
        <v/>
      </c>
      <c r="BQ15" s="39" t="str">
        <f>IF(ISNUMBER(SEARCH($A15,INDEX(Index_CT!$D$2:$D$36,MATCH(BQ$3,Index_CT!$A$2:$A$36,0)))),"X","")</f>
        <v/>
      </c>
      <c r="BR15" s="39" t="str">
        <f>IF(ISNUMBER(SEARCH($A15,INDEX(Index_CT!$D$2:$D$36,MATCH(BR$3,Index_CT!$A$2:$A$36,0)))),"X","")</f>
        <v/>
      </c>
    </row>
    <row r="16" spans="1:70" x14ac:dyDescent="0.25">
      <c r="A16" s="33" t="s">
        <v>307</v>
      </c>
      <c r="B16" s="34" t="s">
        <v>514</v>
      </c>
      <c r="C16" s="33" t="s">
        <v>53</v>
      </c>
      <c r="D16" s="33">
        <f t="shared" si="0"/>
        <v>1</v>
      </c>
      <c r="E16" s="39" t="str">
        <f>IF(ISNUMBER(SEARCH($A16,INDEX(Index_CT!$D$2:$D$36,MATCH(E$3,Index_CT!$A$2:$A$36,0)))),"X","")</f>
        <v/>
      </c>
      <c r="F16" s="39" t="str">
        <f>IF(ISNUMBER(SEARCH($A16,INDEX(Index_CT!$D$2:$D$36,MATCH(F$3,Index_CT!$A$2:$A$36,0)))),"X","")</f>
        <v/>
      </c>
      <c r="G16" s="39" t="str">
        <f>IF(ISNUMBER(SEARCH($A16,INDEX(Index_CT!$D$2:$D$36,MATCH(G$3,Index_CT!$A$2:$A$36,0)))),"X","")</f>
        <v/>
      </c>
      <c r="H16" s="39" t="str">
        <f>IF(ISNUMBER(SEARCH($A16,INDEX(Index_CT!$D$2:$D$36,MATCH(H$3,Index_CT!$A$2:$A$36,0)))),"X","")</f>
        <v/>
      </c>
      <c r="I16" s="39" t="str">
        <f>IF(ISNUMBER(SEARCH($A16,INDEX(Index_CT!$D$2:$D$36,MATCH(I$3,Index_CT!$A$2:$A$36,0)))),"X","")</f>
        <v/>
      </c>
      <c r="J16" s="39" t="str">
        <f>IF(ISNUMBER(SEARCH($A16,INDEX(Index_CT!$D$2:$D$36,MATCH(J$3,Index_CT!$A$2:$A$36,0)))),"X","")</f>
        <v/>
      </c>
      <c r="K16" s="39" t="str">
        <f>IF(ISNUMBER(SEARCH($A16,INDEX(Index_CT!$D$2:$D$36,MATCH(K$3,Index_CT!$A$2:$A$36,0)))),"X","")</f>
        <v/>
      </c>
      <c r="L16" s="39" t="str">
        <f>IF(ISNUMBER(SEARCH($A16,INDEX(Index_CT!$D$2:$D$36,MATCH(L$3,Index_CT!$A$2:$A$36,0)))),"X","")</f>
        <v/>
      </c>
      <c r="M16" s="39" t="str">
        <f>IF(ISNUMBER(SEARCH($A16,INDEX(Index_CT!$D$2:$D$36,MATCH(M$3,Index_CT!$A$2:$A$36,0)))),"X","")</f>
        <v/>
      </c>
      <c r="N16" s="39" t="str">
        <f>IF(ISNUMBER(SEARCH($A16,INDEX(Index_CT!$D$2:$D$36,MATCH(N$3,Index_CT!$A$2:$A$36,0)))),"X","")</f>
        <v/>
      </c>
      <c r="O16" s="39" t="str">
        <f>IF(ISNUMBER(SEARCH($A16,INDEX(Index_CT!$D$2:$D$36,MATCH(O$3,Index_CT!$A$2:$A$36,0)))),"X","")</f>
        <v/>
      </c>
      <c r="P16" s="39" t="str">
        <f>IF(ISNUMBER(SEARCH($A16,INDEX(Index_CT!$D$2:$D$36,MATCH(P$3,Index_CT!$A$2:$A$36,0)))),"X","")</f>
        <v/>
      </c>
      <c r="Q16" s="39" t="str">
        <f>IF(ISNUMBER(SEARCH($A16,INDEX(Index_CT!$D$2:$D$36,MATCH(Q$3,Index_CT!$A$2:$A$36,0)))),"X","")</f>
        <v/>
      </c>
      <c r="R16" s="39" t="str">
        <f>IF(ISNUMBER(SEARCH($A16,INDEX(Index_CT!$D$2:$D$36,MATCH(R$3,Index_CT!$A$2:$A$36,0)))),"X","")</f>
        <v/>
      </c>
      <c r="S16" s="39" t="str">
        <f>IF(ISNUMBER(SEARCH($A16,INDEX(Index_CT!$D$2:$D$36,MATCH(S$3,Index_CT!$A$2:$A$36,0)))),"X","")</f>
        <v/>
      </c>
      <c r="T16" s="39" t="str">
        <f>IF(ISNUMBER(SEARCH($A16,INDEX(Index_CT!$D$2:$D$36,MATCH(T$3,Index_CT!$A$2:$A$36,0)))),"X","")</f>
        <v/>
      </c>
      <c r="U16" s="39" t="str">
        <f>IF(ISNUMBER(SEARCH($A16,INDEX(Index_CT!$D$2:$D$36,MATCH(U$3,Index_CT!$A$2:$A$36,0)))),"X","")</f>
        <v/>
      </c>
      <c r="V16" s="39" t="str">
        <f>IF(ISNUMBER(SEARCH($A16,INDEX(Index_CT!$D$2:$D$36,MATCH(V$3,Index_CT!$A$2:$A$36,0)))),"X","")</f>
        <v/>
      </c>
      <c r="W16" s="39" t="str">
        <f>IF(ISNUMBER(SEARCH($A16,INDEX(Index_CT!$D$2:$D$36,MATCH(W$3,Index_CT!$A$2:$A$36,0)))),"X","")</f>
        <v/>
      </c>
      <c r="X16" s="39" t="str">
        <f>IF(ISNUMBER(SEARCH($A16,INDEX(Index_CT!$D$2:$D$36,MATCH(X$3,Index_CT!$A$2:$A$36,0)))),"X","")</f>
        <v/>
      </c>
      <c r="Y16" s="39" t="str">
        <f>IF(ISNUMBER(SEARCH($A16,INDEX(Index_CT!$D$2:$D$36,MATCH(Y$3,Index_CT!$A$2:$A$36,0)))),"X","")</f>
        <v/>
      </c>
      <c r="Z16" s="39" t="str">
        <f>IF(ISNUMBER(SEARCH($A16,INDEX(Index_CT!$D$2:$D$36,MATCH(Z$3,Index_CT!$A$2:$A$36,0)))),"X","")</f>
        <v/>
      </c>
      <c r="AA16" s="39" t="str">
        <f>IF(ISNUMBER(SEARCH($A16,INDEX(Index_CT!$D$2:$D$36,MATCH(AA$3,Index_CT!$A$2:$A$36,0)))),"X","")</f>
        <v>X</v>
      </c>
      <c r="AB16" s="39" t="str">
        <f>IF(ISNUMBER(SEARCH($A16,INDEX(Index_CT!$D$2:$D$36,MATCH(AB$3,Index_CT!$A$2:$A$36,0)))),"X","")</f>
        <v/>
      </c>
      <c r="AC16" s="39" t="str">
        <f>IF(ISNUMBER(SEARCH($A16,INDEX(Index_CT!$D$2:$D$36,MATCH(AC$3,Index_CT!$A$2:$A$36,0)))),"X","")</f>
        <v/>
      </c>
      <c r="AD16" s="39" t="str">
        <f>IF(ISNUMBER(SEARCH($A16,INDEX(Index_CT!$D$2:$D$36,MATCH(AD$3,Index_CT!$A$2:$A$36,0)))),"X","")</f>
        <v/>
      </c>
      <c r="AE16" s="39" t="str">
        <f>IF(ISNUMBER(SEARCH($A16,INDEX(Index_CT!$D$2:$D$36,MATCH(AE$3,Index_CT!$A$2:$A$36,0)))),"X","")</f>
        <v/>
      </c>
      <c r="AF16" s="39" t="str">
        <f>IF(ISNUMBER(SEARCH($A16,INDEX(Index_CT!$D$2:$D$36,MATCH(AF$3,Index_CT!$A$2:$A$36,0)))),"X","")</f>
        <v/>
      </c>
      <c r="AG16" s="39" t="str">
        <f>IF(ISNUMBER(SEARCH($A16,INDEX(Index_CT!$D$2:$D$36,MATCH(AG$3,Index_CT!$A$2:$A$36,0)))),"X","")</f>
        <v/>
      </c>
      <c r="AH16" s="39" t="str">
        <f>IF(ISNUMBER(SEARCH($A16,INDEX(Index_CT!$D$2:$D$36,MATCH(AH$3,Index_CT!$A$2:$A$36,0)))),"X","")</f>
        <v/>
      </c>
      <c r="AI16" s="39" t="str">
        <f>IF(ISNUMBER(SEARCH($A16,INDEX(Index_CT!$D$2:$D$36,MATCH(AI$3,Index_CT!$A$2:$A$36,0)))),"X","")</f>
        <v/>
      </c>
      <c r="AJ16" s="39" t="str">
        <f>IF(ISNUMBER(SEARCH($A16,INDEX(Index_CT!$D$2:$D$36,MATCH(AJ$3,Index_CT!$A$2:$A$36,0)))),"X","")</f>
        <v/>
      </c>
      <c r="AK16" s="39" t="str">
        <f>IF(ISNUMBER(SEARCH($A16,INDEX(Index_CT!$D$2:$D$36,MATCH(AK$3,Index_CT!$A$2:$A$36,0)))),"X","")</f>
        <v/>
      </c>
      <c r="AL16" s="39" t="str">
        <f>IF(ISNUMBER(SEARCH($A16,INDEX(Index_CT!$D$2:$D$36,MATCH(AL$3,Index_CT!$A$2:$A$36,0)))),"X","")</f>
        <v/>
      </c>
      <c r="AM16" s="39" t="str">
        <f>IF(ISNUMBER(SEARCH($A16,INDEX(Index_CT!$D$2:$D$36,MATCH(AM$3,Index_CT!$A$2:$A$36,0)))),"X","")</f>
        <v/>
      </c>
      <c r="AN16" s="39" t="str">
        <f>IF(ISNUMBER(SEARCH($A16,INDEX(Index_CT!$D$2:$D$36,MATCH(AN$3,Index_CT!$A$2:$A$36,0)))),"X","")</f>
        <v/>
      </c>
      <c r="AO16" s="39" t="str">
        <f>IF(ISNUMBER(SEARCH($A16,INDEX(Index_CT!$D$2:$D$36,MATCH(AO$3,Index_CT!$A$2:$A$36,0)))),"X","")</f>
        <v/>
      </c>
      <c r="AP16" s="39" t="str">
        <f>IF(ISNUMBER(SEARCH($A16,INDEX(Index_CT!$D$2:$D$36,MATCH(AP$3,Index_CT!$A$2:$A$36,0)))),"X","")</f>
        <v/>
      </c>
      <c r="AQ16" s="39" t="str">
        <f>IF(ISNUMBER(SEARCH($A16,INDEX(Index_CT!$D$2:$D$36,MATCH(AQ$3,Index_CT!$A$2:$A$36,0)))),"X","")</f>
        <v/>
      </c>
      <c r="AR16" s="39" t="str">
        <f>IF(ISNUMBER(SEARCH($A16,INDEX(Index_CT!$D$2:$D$36,MATCH(AR$3,Index_CT!$A$2:$A$36,0)))),"X","")</f>
        <v/>
      </c>
      <c r="AS16" s="39" t="str">
        <f>IF(ISNUMBER(SEARCH($A16,INDEX(Index_CT!$D$2:$D$36,MATCH(AS$3,Index_CT!$A$2:$A$36,0)))),"X","")</f>
        <v/>
      </c>
      <c r="AT16" s="39" t="str">
        <f>IF(ISNUMBER(SEARCH($A16,INDEX(Index_CT!$D$2:$D$36,MATCH(AT$3,Index_CT!$A$2:$A$36,0)))),"X","")</f>
        <v/>
      </c>
      <c r="AU16" s="39" t="str">
        <f>IF(ISNUMBER(SEARCH($A16,INDEX(Index_CT!$D$2:$D$36,MATCH(AU$3,Index_CT!$A$2:$A$36,0)))),"X","")</f>
        <v/>
      </c>
      <c r="AV16" s="39" t="str">
        <f>IF(ISNUMBER(SEARCH($A16,INDEX(Index_CT!$D$2:$D$36,MATCH(AV$3,Index_CT!$A$2:$A$36,0)))),"X","")</f>
        <v/>
      </c>
      <c r="AW16" s="39" t="str">
        <f>IF(ISNUMBER(SEARCH($A16,INDEX(Index_CT!$D$2:$D$36,MATCH(AW$3,Index_CT!$A$2:$A$36,0)))),"X","")</f>
        <v/>
      </c>
      <c r="AX16" s="39" t="str">
        <f>IF(ISNUMBER(SEARCH($A16,INDEX(Index_CT!$D$2:$D$36,MATCH(AX$3,Index_CT!$A$2:$A$36,0)))),"X","")</f>
        <v/>
      </c>
      <c r="AY16" s="39" t="str">
        <f>IF(ISNUMBER(SEARCH($A16,INDEX(Index_CT!$D$2:$D$36,MATCH(AY$3,Index_CT!$A$2:$A$36,0)))),"X","")</f>
        <v/>
      </c>
      <c r="AZ16" s="39" t="str">
        <f>IF(ISNUMBER(SEARCH($A16,INDEX(Index_CT!$D$2:$D$36,MATCH(AZ$3,Index_CT!$A$2:$A$36,0)))),"X","")</f>
        <v/>
      </c>
      <c r="BA16" s="39" t="str">
        <f>IF(ISNUMBER(SEARCH($A16,INDEX(Index_CT!$D$2:$D$36,MATCH(BA$3,Index_CT!$A$2:$A$36,0)))),"X","")</f>
        <v/>
      </c>
      <c r="BB16" s="39" t="str">
        <f>IF(ISNUMBER(SEARCH($A16,INDEX(Index_CT!$D$2:$D$36,MATCH(BB$3,Index_CT!$A$2:$A$36,0)))),"X","")</f>
        <v/>
      </c>
      <c r="BC16" s="39" t="str">
        <f>IF(ISNUMBER(SEARCH($A16,INDEX(Index_CT!$D$2:$D$36,MATCH(BC$3,Index_CT!$A$2:$A$36,0)))),"X","")</f>
        <v/>
      </c>
      <c r="BD16" s="39" t="str">
        <f>IF(ISNUMBER(SEARCH($A16,INDEX(Index_CT!$D$2:$D$36,MATCH(BD$3,Index_CT!$A$2:$A$36,0)))),"X","")</f>
        <v/>
      </c>
      <c r="BE16" s="39" t="str">
        <f>IF(ISNUMBER(SEARCH($A16,INDEX(Index_CT!$D$2:$D$36,MATCH(BE$3,Index_CT!$A$2:$A$36,0)))),"X","")</f>
        <v/>
      </c>
      <c r="BF16" s="39" t="str">
        <f>IF(ISNUMBER(SEARCH($A16,INDEX(Index_CT!$D$2:$D$36,MATCH(BF$3,Index_CT!$A$2:$A$36,0)))),"X","")</f>
        <v/>
      </c>
      <c r="BG16" s="39" t="str">
        <f>IF(ISNUMBER(SEARCH($A16,INDEX(Index_CT!$D$2:$D$36,MATCH(BG$3,Index_CT!$A$2:$A$36,0)))),"X","")</f>
        <v/>
      </c>
      <c r="BH16" s="39" t="str">
        <f>IF(ISNUMBER(SEARCH($A16,INDEX(Index_CT!$D$2:$D$36,MATCH(BH$3,Index_CT!$A$2:$A$36,0)))),"X","")</f>
        <v/>
      </c>
      <c r="BI16" s="39" t="str">
        <f>IF(ISNUMBER(SEARCH($A16,INDEX(Index_CT!$D$2:$D$36,MATCH(BI$3,Index_CT!$A$2:$A$36,0)))),"X","")</f>
        <v/>
      </c>
      <c r="BJ16" s="39" t="str">
        <f>IF(ISNUMBER(SEARCH($A16,INDEX(Index_CT!$D$2:$D$36,MATCH(BJ$3,Index_CT!$A$2:$A$36,0)))),"X","")</f>
        <v/>
      </c>
      <c r="BK16" s="39" t="str">
        <f>IF(ISNUMBER(SEARCH($A16,INDEX(Index_CT!$D$2:$D$36,MATCH(BK$3,Index_CT!$A$2:$A$36,0)))),"X","")</f>
        <v/>
      </c>
      <c r="BL16" s="39" t="str">
        <f>IF(ISNUMBER(SEARCH($A16,INDEX(Index_CT!$D$2:$D$36,MATCH(BL$3,Index_CT!$A$2:$A$36,0)))),"X","")</f>
        <v/>
      </c>
      <c r="BM16" s="39" t="str">
        <f>IF(ISNUMBER(SEARCH($A16,INDEX(Index_CT!$D$2:$D$36,MATCH(BM$3,Index_CT!$A$2:$A$36,0)))),"X","")</f>
        <v/>
      </c>
      <c r="BN16" s="39" t="str">
        <f>IF(ISNUMBER(SEARCH($A16,INDEX(Index_CT!$D$2:$D$36,MATCH(BN$3,Index_CT!$A$2:$A$36,0)))),"X","")</f>
        <v/>
      </c>
      <c r="BO16" s="39" t="str">
        <f>IF(ISNUMBER(SEARCH($A16,INDEX(Index_CT!$D$2:$D$36,MATCH(BO$3,Index_CT!$A$2:$A$36,0)))),"X","")</f>
        <v/>
      </c>
      <c r="BP16" s="39" t="str">
        <f>IF(ISNUMBER(SEARCH($A16,INDEX(Index_CT!$D$2:$D$36,MATCH(BP$3,Index_CT!$A$2:$A$36,0)))),"X","")</f>
        <v/>
      </c>
      <c r="BQ16" s="39" t="str">
        <f>IF(ISNUMBER(SEARCH($A16,INDEX(Index_CT!$D$2:$D$36,MATCH(BQ$3,Index_CT!$A$2:$A$36,0)))),"X","")</f>
        <v/>
      </c>
      <c r="BR16" s="39" t="str">
        <f>IF(ISNUMBER(SEARCH($A16,INDEX(Index_CT!$D$2:$D$36,MATCH(BR$3,Index_CT!$A$2:$A$36,0)))),"X","")</f>
        <v/>
      </c>
    </row>
    <row r="17" spans="1:70" x14ac:dyDescent="0.25">
      <c r="A17" s="33" t="s">
        <v>319</v>
      </c>
      <c r="B17" s="34" t="s">
        <v>516</v>
      </c>
      <c r="C17" s="33" t="s">
        <v>53</v>
      </c>
      <c r="D17" s="33">
        <f t="shared" si="0"/>
        <v>4</v>
      </c>
      <c r="E17" s="39" t="str">
        <f>IF(ISNUMBER(SEARCH($A17,INDEX(Index_CT!$D$2:$D$36,MATCH(E$3,Index_CT!$A$2:$A$36,0)))),"X","")</f>
        <v/>
      </c>
      <c r="F17" s="39" t="str">
        <f>IF(ISNUMBER(SEARCH($A17,INDEX(Index_CT!$D$2:$D$36,MATCH(F$3,Index_CT!$A$2:$A$36,0)))),"X","")</f>
        <v/>
      </c>
      <c r="G17" s="39" t="str">
        <f>IF(ISNUMBER(SEARCH($A17,INDEX(Index_CT!$D$2:$D$36,MATCH(G$3,Index_CT!$A$2:$A$36,0)))),"X","")</f>
        <v/>
      </c>
      <c r="H17" s="39" t="str">
        <f>IF(ISNUMBER(SEARCH($A17,INDEX(Index_CT!$D$2:$D$36,MATCH(H$3,Index_CT!$A$2:$A$36,0)))),"X","")</f>
        <v/>
      </c>
      <c r="I17" s="39" t="str">
        <f>IF(ISNUMBER(SEARCH($A17,INDEX(Index_CT!$D$2:$D$36,MATCH(I$3,Index_CT!$A$2:$A$36,0)))),"X","")</f>
        <v/>
      </c>
      <c r="J17" s="39" t="str">
        <f>IF(ISNUMBER(SEARCH($A17,INDEX(Index_CT!$D$2:$D$36,MATCH(J$3,Index_CT!$A$2:$A$36,0)))),"X","")</f>
        <v/>
      </c>
      <c r="K17" s="39" t="str">
        <f>IF(ISNUMBER(SEARCH($A17,INDEX(Index_CT!$D$2:$D$36,MATCH(K$3,Index_CT!$A$2:$A$36,0)))),"X","")</f>
        <v/>
      </c>
      <c r="L17" s="39" t="str">
        <f>IF(ISNUMBER(SEARCH($A17,INDEX(Index_CT!$D$2:$D$36,MATCH(L$3,Index_CT!$A$2:$A$36,0)))),"X","")</f>
        <v/>
      </c>
      <c r="M17" s="39" t="str">
        <f>IF(ISNUMBER(SEARCH($A17,INDEX(Index_CT!$D$2:$D$36,MATCH(M$3,Index_CT!$A$2:$A$36,0)))),"X","")</f>
        <v/>
      </c>
      <c r="N17" s="39" t="str">
        <f>IF(ISNUMBER(SEARCH($A17,INDEX(Index_CT!$D$2:$D$36,MATCH(N$3,Index_CT!$A$2:$A$36,0)))),"X","")</f>
        <v/>
      </c>
      <c r="O17" s="39" t="str">
        <f>IF(ISNUMBER(SEARCH($A17,INDEX(Index_CT!$D$2:$D$36,MATCH(O$3,Index_CT!$A$2:$A$36,0)))),"X","")</f>
        <v/>
      </c>
      <c r="P17" s="39" t="str">
        <f>IF(ISNUMBER(SEARCH($A17,INDEX(Index_CT!$D$2:$D$36,MATCH(P$3,Index_CT!$A$2:$A$36,0)))),"X","")</f>
        <v/>
      </c>
      <c r="Q17" s="39" t="str">
        <f>IF(ISNUMBER(SEARCH($A17,INDEX(Index_CT!$D$2:$D$36,MATCH(Q$3,Index_CT!$A$2:$A$36,0)))),"X","")</f>
        <v/>
      </c>
      <c r="R17" s="39" t="str">
        <f>IF(ISNUMBER(SEARCH($A17,INDEX(Index_CT!$D$2:$D$36,MATCH(R$3,Index_CT!$A$2:$A$36,0)))),"X","")</f>
        <v/>
      </c>
      <c r="S17" s="39" t="str">
        <f>IF(ISNUMBER(SEARCH($A17,INDEX(Index_CT!$D$2:$D$36,MATCH(S$3,Index_CT!$A$2:$A$36,0)))),"X","")</f>
        <v/>
      </c>
      <c r="T17" s="39" t="str">
        <f>IF(ISNUMBER(SEARCH($A17,INDEX(Index_CT!$D$2:$D$36,MATCH(T$3,Index_CT!$A$2:$A$36,0)))),"X","")</f>
        <v/>
      </c>
      <c r="U17" s="39" t="str">
        <f>IF(ISNUMBER(SEARCH($A17,INDEX(Index_CT!$D$2:$D$36,MATCH(U$3,Index_CT!$A$2:$A$36,0)))),"X","")</f>
        <v/>
      </c>
      <c r="V17" s="39" t="str">
        <f>IF(ISNUMBER(SEARCH($A17,INDEX(Index_CT!$D$2:$D$36,MATCH(V$3,Index_CT!$A$2:$A$36,0)))),"X","")</f>
        <v/>
      </c>
      <c r="W17" s="39" t="str">
        <f>IF(ISNUMBER(SEARCH($A17,INDEX(Index_CT!$D$2:$D$36,MATCH(W$3,Index_CT!$A$2:$A$36,0)))),"X","")</f>
        <v/>
      </c>
      <c r="X17" s="39" t="str">
        <f>IF(ISNUMBER(SEARCH($A17,INDEX(Index_CT!$D$2:$D$36,MATCH(X$3,Index_CT!$A$2:$A$36,0)))),"X","")</f>
        <v/>
      </c>
      <c r="Y17" s="39" t="str">
        <f>IF(ISNUMBER(SEARCH($A17,INDEX(Index_CT!$D$2:$D$36,MATCH(Y$3,Index_CT!$A$2:$A$36,0)))),"X","")</f>
        <v/>
      </c>
      <c r="Z17" s="39" t="str">
        <f>IF(ISNUMBER(SEARCH($A17,INDEX(Index_CT!$D$2:$D$36,MATCH(Z$3,Index_CT!$A$2:$A$36,0)))),"X","")</f>
        <v/>
      </c>
      <c r="AA17" s="39" t="str">
        <f>IF(ISNUMBER(SEARCH($A17,INDEX(Index_CT!$D$2:$D$36,MATCH(AA$3,Index_CT!$A$2:$A$36,0)))),"X","")</f>
        <v/>
      </c>
      <c r="AB17" s="39" t="str">
        <f>IF(ISNUMBER(SEARCH($A17,INDEX(Index_CT!$D$2:$D$36,MATCH(AB$3,Index_CT!$A$2:$A$36,0)))),"X","")</f>
        <v>X</v>
      </c>
      <c r="AC17" s="39" t="str">
        <f>IF(ISNUMBER(SEARCH($A17,INDEX(Index_CT!$D$2:$D$36,MATCH(AC$3,Index_CT!$A$2:$A$36,0)))),"X","")</f>
        <v>X</v>
      </c>
      <c r="AD17" s="39" t="str">
        <f>IF(ISNUMBER(SEARCH($A17,INDEX(Index_CT!$D$2:$D$36,MATCH(AD$3,Index_CT!$A$2:$A$36,0)))),"X","")</f>
        <v>X</v>
      </c>
      <c r="AE17" s="39" t="str">
        <f>IF(ISNUMBER(SEARCH($A17,INDEX(Index_CT!$D$2:$D$36,MATCH(AE$3,Index_CT!$A$2:$A$36,0)))),"X","")</f>
        <v>X</v>
      </c>
      <c r="AF17" s="39" t="str">
        <f>IF(ISNUMBER(SEARCH($A17,INDEX(Index_CT!$D$2:$D$36,MATCH(AF$3,Index_CT!$A$2:$A$36,0)))),"X","")</f>
        <v/>
      </c>
      <c r="AG17" s="39" t="str">
        <f>IF(ISNUMBER(SEARCH($A17,INDEX(Index_CT!$D$2:$D$36,MATCH(AG$3,Index_CT!$A$2:$A$36,0)))),"X","")</f>
        <v/>
      </c>
      <c r="AH17" s="39" t="str">
        <f>IF(ISNUMBER(SEARCH($A17,INDEX(Index_CT!$D$2:$D$36,MATCH(AH$3,Index_CT!$A$2:$A$36,0)))),"X","")</f>
        <v/>
      </c>
      <c r="AI17" s="39" t="str">
        <f>IF(ISNUMBER(SEARCH($A17,INDEX(Index_CT!$D$2:$D$36,MATCH(AI$3,Index_CT!$A$2:$A$36,0)))),"X","")</f>
        <v/>
      </c>
      <c r="AJ17" s="39" t="str">
        <f>IF(ISNUMBER(SEARCH($A17,INDEX(Index_CT!$D$2:$D$36,MATCH(AJ$3,Index_CT!$A$2:$A$36,0)))),"X","")</f>
        <v/>
      </c>
      <c r="AK17" s="39" t="str">
        <f>IF(ISNUMBER(SEARCH($A17,INDEX(Index_CT!$D$2:$D$36,MATCH(AK$3,Index_CT!$A$2:$A$36,0)))),"X","")</f>
        <v/>
      </c>
      <c r="AL17" s="39" t="str">
        <f>IF(ISNUMBER(SEARCH($A17,INDEX(Index_CT!$D$2:$D$36,MATCH(AL$3,Index_CT!$A$2:$A$36,0)))),"X","")</f>
        <v/>
      </c>
      <c r="AM17" s="39" t="str">
        <f>IF(ISNUMBER(SEARCH($A17,INDEX(Index_CT!$D$2:$D$36,MATCH(AM$3,Index_CT!$A$2:$A$36,0)))),"X","")</f>
        <v/>
      </c>
      <c r="AN17" s="39" t="str">
        <f>IF(ISNUMBER(SEARCH($A17,INDEX(Index_CT!$D$2:$D$36,MATCH(AN$3,Index_CT!$A$2:$A$36,0)))),"X","")</f>
        <v/>
      </c>
      <c r="AO17" s="39" t="str">
        <f>IF(ISNUMBER(SEARCH($A17,INDEX(Index_CT!$D$2:$D$36,MATCH(AO$3,Index_CT!$A$2:$A$36,0)))),"X","")</f>
        <v/>
      </c>
      <c r="AP17" s="39" t="str">
        <f>IF(ISNUMBER(SEARCH($A17,INDEX(Index_CT!$D$2:$D$36,MATCH(AP$3,Index_CT!$A$2:$A$36,0)))),"X","")</f>
        <v/>
      </c>
      <c r="AQ17" s="39" t="str">
        <f>IF(ISNUMBER(SEARCH($A17,INDEX(Index_CT!$D$2:$D$36,MATCH(AQ$3,Index_CT!$A$2:$A$36,0)))),"X","")</f>
        <v/>
      </c>
      <c r="AR17" s="39" t="str">
        <f>IF(ISNUMBER(SEARCH($A17,INDEX(Index_CT!$D$2:$D$36,MATCH(AR$3,Index_CT!$A$2:$A$36,0)))),"X","")</f>
        <v/>
      </c>
      <c r="AS17" s="39" t="str">
        <f>IF(ISNUMBER(SEARCH($A17,INDEX(Index_CT!$D$2:$D$36,MATCH(AS$3,Index_CT!$A$2:$A$36,0)))),"X","")</f>
        <v/>
      </c>
      <c r="AT17" s="39" t="str">
        <f>IF(ISNUMBER(SEARCH($A17,INDEX(Index_CT!$D$2:$D$36,MATCH(AT$3,Index_CT!$A$2:$A$36,0)))),"X","")</f>
        <v/>
      </c>
      <c r="AU17" s="39" t="str">
        <f>IF(ISNUMBER(SEARCH($A17,INDEX(Index_CT!$D$2:$D$36,MATCH(AU$3,Index_CT!$A$2:$A$36,0)))),"X","")</f>
        <v/>
      </c>
      <c r="AV17" s="39" t="str">
        <f>IF(ISNUMBER(SEARCH($A17,INDEX(Index_CT!$D$2:$D$36,MATCH(AV$3,Index_CT!$A$2:$A$36,0)))),"X","")</f>
        <v/>
      </c>
      <c r="AW17" s="39" t="str">
        <f>IF(ISNUMBER(SEARCH($A17,INDEX(Index_CT!$D$2:$D$36,MATCH(AW$3,Index_CT!$A$2:$A$36,0)))),"X","")</f>
        <v/>
      </c>
      <c r="AX17" s="39" t="str">
        <f>IF(ISNUMBER(SEARCH($A17,INDEX(Index_CT!$D$2:$D$36,MATCH(AX$3,Index_CT!$A$2:$A$36,0)))),"X","")</f>
        <v/>
      </c>
      <c r="AY17" s="39" t="str">
        <f>IF(ISNUMBER(SEARCH($A17,INDEX(Index_CT!$D$2:$D$36,MATCH(AY$3,Index_CT!$A$2:$A$36,0)))),"X","")</f>
        <v/>
      </c>
      <c r="AZ17" s="39" t="str">
        <f>IF(ISNUMBER(SEARCH($A17,INDEX(Index_CT!$D$2:$D$36,MATCH(AZ$3,Index_CT!$A$2:$A$36,0)))),"X","")</f>
        <v/>
      </c>
      <c r="BA17" s="39" t="str">
        <f>IF(ISNUMBER(SEARCH($A17,INDEX(Index_CT!$D$2:$D$36,MATCH(BA$3,Index_CT!$A$2:$A$36,0)))),"X","")</f>
        <v/>
      </c>
      <c r="BB17" s="39" t="str">
        <f>IF(ISNUMBER(SEARCH($A17,INDEX(Index_CT!$D$2:$D$36,MATCH(BB$3,Index_CT!$A$2:$A$36,0)))),"X","")</f>
        <v/>
      </c>
      <c r="BC17" s="39" t="str">
        <f>IF(ISNUMBER(SEARCH($A17,INDEX(Index_CT!$D$2:$D$36,MATCH(BC$3,Index_CT!$A$2:$A$36,0)))),"X","")</f>
        <v/>
      </c>
      <c r="BD17" s="39" t="str">
        <f>IF(ISNUMBER(SEARCH($A17,INDEX(Index_CT!$D$2:$D$36,MATCH(BD$3,Index_CT!$A$2:$A$36,0)))),"X","")</f>
        <v/>
      </c>
      <c r="BE17" s="39" t="str">
        <f>IF(ISNUMBER(SEARCH($A17,INDEX(Index_CT!$D$2:$D$36,MATCH(BE$3,Index_CT!$A$2:$A$36,0)))),"X","")</f>
        <v/>
      </c>
      <c r="BF17" s="39" t="str">
        <f>IF(ISNUMBER(SEARCH($A17,INDEX(Index_CT!$D$2:$D$36,MATCH(BF$3,Index_CT!$A$2:$A$36,0)))),"X","")</f>
        <v/>
      </c>
      <c r="BG17" s="39" t="str">
        <f>IF(ISNUMBER(SEARCH($A17,INDEX(Index_CT!$D$2:$D$36,MATCH(BG$3,Index_CT!$A$2:$A$36,0)))),"X","")</f>
        <v/>
      </c>
      <c r="BH17" s="39" t="str">
        <f>IF(ISNUMBER(SEARCH($A17,INDEX(Index_CT!$D$2:$D$36,MATCH(BH$3,Index_CT!$A$2:$A$36,0)))),"X","")</f>
        <v/>
      </c>
      <c r="BI17" s="39" t="str">
        <f>IF(ISNUMBER(SEARCH($A17,INDEX(Index_CT!$D$2:$D$36,MATCH(BI$3,Index_CT!$A$2:$A$36,0)))),"X","")</f>
        <v/>
      </c>
      <c r="BJ17" s="39" t="str">
        <f>IF(ISNUMBER(SEARCH($A17,INDEX(Index_CT!$D$2:$D$36,MATCH(BJ$3,Index_CT!$A$2:$A$36,0)))),"X","")</f>
        <v/>
      </c>
      <c r="BK17" s="39" t="str">
        <f>IF(ISNUMBER(SEARCH($A17,INDEX(Index_CT!$D$2:$D$36,MATCH(BK$3,Index_CT!$A$2:$A$36,0)))),"X","")</f>
        <v/>
      </c>
      <c r="BL17" s="39" t="str">
        <f>IF(ISNUMBER(SEARCH($A17,INDEX(Index_CT!$D$2:$D$36,MATCH(BL$3,Index_CT!$A$2:$A$36,0)))),"X","")</f>
        <v/>
      </c>
      <c r="BM17" s="39" t="str">
        <f>IF(ISNUMBER(SEARCH($A17,INDEX(Index_CT!$D$2:$D$36,MATCH(BM$3,Index_CT!$A$2:$A$36,0)))),"X","")</f>
        <v/>
      </c>
      <c r="BN17" s="39" t="str">
        <f>IF(ISNUMBER(SEARCH($A17,INDEX(Index_CT!$D$2:$D$36,MATCH(BN$3,Index_CT!$A$2:$A$36,0)))),"X","")</f>
        <v/>
      </c>
      <c r="BO17" s="39" t="str">
        <f>IF(ISNUMBER(SEARCH($A17,INDEX(Index_CT!$D$2:$D$36,MATCH(BO$3,Index_CT!$A$2:$A$36,0)))),"X","")</f>
        <v/>
      </c>
      <c r="BP17" s="39" t="str">
        <f>IF(ISNUMBER(SEARCH($A17,INDEX(Index_CT!$D$2:$D$36,MATCH(BP$3,Index_CT!$A$2:$A$36,0)))),"X","")</f>
        <v/>
      </c>
      <c r="BQ17" s="39" t="str">
        <f>IF(ISNUMBER(SEARCH($A17,INDEX(Index_CT!$D$2:$D$36,MATCH(BQ$3,Index_CT!$A$2:$A$36,0)))),"X","")</f>
        <v/>
      </c>
      <c r="BR17" s="39" t="str">
        <f>IF(ISNUMBER(SEARCH($A17,INDEX(Index_CT!$D$2:$D$36,MATCH(BR$3,Index_CT!$A$2:$A$36,0)))),"X","")</f>
        <v/>
      </c>
    </row>
    <row r="18" spans="1:70" ht="26.25" customHeight="1" x14ac:dyDescent="0.25">
      <c r="A18" s="33" t="s">
        <v>243</v>
      </c>
      <c r="B18" s="34" t="s">
        <v>519</v>
      </c>
      <c r="C18" s="33" t="s">
        <v>83</v>
      </c>
      <c r="D18" s="33">
        <f t="shared" si="0"/>
        <v>1</v>
      </c>
      <c r="E18" s="39" t="str">
        <f>IF(ISNUMBER(SEARCH($A18,INDEX(Index_CT!$D$2:$D$36,MATCH(E$3,Index_CT!$A$2:$A$36,0)))),"X","")</f>
        <v/>
      </c>
      <c r="F18" s="39" t="str">
        <f>IF(ISNUMBER(SEARCH($A18,INDEX(Index_CT!$D$2:$D$36,MATCH(F$3,Index_CT!$A$2:$A$36,0)))),"X","")</f>
        <v/>
      </c>
      <c r="G18" s="39" t="str">
        <f>IF(ISNUMBER(SEARCH($A18,INDEX(Index_CT!$D$2:$D$36,MATCH(G$3,Index_CT!$A$2:$A$36,0)))),"X","")</f>
        <v/>
      </c>
      <c r="H18" s="39" t="str">
        <f>IF(ISNUMBER(SEARCH($A18,INDEX(Index_CT!$D$2:$D$36,MATCH(H$3,Index_CT!$A$2:$A$36,0)))),"X","")</f>
        <v/>
      </c>
      <c r="I18" s="39" t="str">
        <f>IF(ISNUMBER(SEARCH($A18,INDEX(Index_CT!$D$2:$D$36,MATCH(I$3,Index_CT!$A$2:$A$36,0)))),"X","")</f>
        <v/>
      </c>
      <c r="J18" s="39" t="str">
        <f>IF(ISNUMBER(SEARCH($A18,INDEX(Index_CT!$D$2:$D$36,MATCH(J$3,Index_CT!$A$2:$A$36,0)))),"X","")</f>
        <v/>
      </c>
      <c r="K18" s="39" t="str">
        <f>IF(ISNUMBER(SEARCH($A18,INDEX(Index_CT!$D$2:$D$36,MATCH(K$3,Index_CT!$A$2:$A$36,0)))),"X","")</f>
        <v/>
      </c>
      <c r="L18" s="39" t="str">
        <f>IF(ISNUMBER(SEARCH($A18,INDEX(Index_CT!$D$2:$D$36,MATCH(L$3,Index_CT!$A$2:$A$36,0)))),"X","")</f>
        <v/>
      </c>
      <c r="M18" s="39" t="str">
        <f>IF(ISNUMBER(SEARCH($A18,INDEX(Index_CT!$D$2:$D$36,MATCH(M$3,Index_CT!$A$2:$A$36,0)))),"X","")</f>
        <v/>
      </c>
      <c r="N18" s="39" t="str">
        <f>IF(ISNUMBER(SEARCH($A18,INDEX(Index_CT!$D$2:$D$36,MATCH(N$3,Index_CT!$A$2:$A$36,0)))),"X","")</f>
        <v/>
      </c>
      <c r="O18" s="39" t="str">
        <f>IF(ISNUMBER(SEARCH($A18,INDEX(Index_CT!$D$2:$D$36,MATCH(O$3,Index_CT!$A$2:$A$36,0)))),"X","")</f>
        <v/>
      </c>
      <c r="P18" s="39" t="str">
        <f>IF(ISNUMBER(SEARCH($A18,INDEX(Index_CT!$D$2:$D$36,MATCH(P$3,Index_CT!$A$2:$A$36,0)))),"X","")</f>
        <v/>
      </c>
      <c r="Q18" s="39" t="str">
        <f>IF(ISNUMBER(SEARCH($A18,INDEX(Index_CT!$D$2:$D$36,MATCH(Q$3,Index_CT!$A$2:$A$36,0)))),"X","")</f>
        <v/>
      </c>
      <c r="R18" s="39" t="str">
        <f>IF(ISNUMBER(SEARCH($A18,INDEX(Index_CT!$D$2:$D$36,MATCH(R$3,Index_CT!$A$2:$A$36,0)))),"X","")</f>
        <v/>
      </c>
      <c r="S18" s="39" t="str">
        <f>IF(ISNUMBER(SEARCH($A18,INDEX(Index_CT!$D$2:$D$36,MATCH(S$3,Index_CT!$A$2:$A$36,0)))),"X","")</f>
        <v/>
      </c>
      <c r="T18" s="39" t="str">
        <f>IF(ISNUMBER(SEARCH($A18,INDEX(Index_CT!$D$2:$D$36,MATCH(T$3,Index_CT!$A$2:$A$36,0)))),"X","")</f>
        <v/>
      </c>
      <c r="U18" s="39" t="str">
        <f>IF(ISNUMBER(SEARCH($A18,INDEX(Index_CT!$D$2:$D$36,MATCH(U$3,Index_CT!$A$2:$A$36,0)))),"X","")</f>
        <v>X</v>
      </c>
      <c r="V18" s="39" t="str">
        <f>IF(ISNUMBER(SEARCH($A18,INDEX(Index_CT!$D$2:$D$36,MATCH(V$3,Index_CT!$A$2:$A$36,0)))),"X","")</f>
        <v/>
      </c>
      <c r="W18" s="39" t="str">
        <f>IF(ISNUMBER(SEARCH($A18,INDEX(Index_CT!$D$2:$D$36,MATCH(W$3,Index_CT!$A$2:$A$36,0)))),"X","")</f>
        <v/>
      </c>
      <c r="X18" s="39" t="str">
        <f>IF(ISNUMBER(SEARCH($A18,INDEX(Index_CT!$D$2:$D$36,MATCH(X$3,Index_CT!$A$2:$A$36,0)))),"X","")</f>
        <v/>
      </c>
      <c r="Y18" s="39" t="str">
        <f>IF(ISNUMBER(SEARCH($A18,INDEX(Index_CT!$D$2:$D$36,MATCH(Y$3,Index_CT!$A$2:$A$36,0)))),"X","")</f>
        <v/>
      </c>
      <c r="Z18" s="39" t="str">
        <f>IF(ISNUMBER(SEARCH($A18,INDEX(Index_CT!$D$2:$D$36,MATCH(Z$3,Index_CT!$A$2:$A$36,0)))),"X","")</f>
        <v/>
      </c>
      <c r="AA18" s="39" t="str">
        <f>IF(ISNUMBER(SEARCH($A18,INDEX(Index_CT!$D$2:$D$36,MATCH(AA$3,Index_CT!$A$2:$A$36,0)))),"X","")</f>
        <v/>
      </c>
      <c r="AB18" s="39" t="str">
        <f>IF(ISNUMBER(SEARCH($A18,INDEX(Index_CT!$D$2:$D$36,MATCH(AB$3,Index_CT!$A$2:$A$36,0)))),"X","")</f>
        <v/>
      </c>
      <c r="AC18" s="39" t="str">
        <f>IF(ISNUMBER(SEARCH($A18,INDEX(Index_CT!$D$2:$D$36,MATCH(AC$3,Index_CT!$A$2:$A$36,0)))),"X","")</f>
        <v/>
      </c>
      <c r="AD18" s="39" t="str">
        <f>IF(ISNUMBER(SEARCH($A18,INDEX(Index_CT!$D$2:$D$36,MATCH(AD$3,Index_CT!$A$2:$A$36,0)))),"X","")</f>
        <v/>
      </c>
      <c r="AE18" s="39" t="str">
        <f>IF(ISNUMBER(SEARCH($A18,INDEX(Index_CT!$D$2:$D$36,MATCH(AE$3,Index_CT!$A$2:$A$36,0)))),"X","")</f>
        <v/>
      </c>
      <c r="AF18" s="39" t="str">
        <f>IF(ISNUMBER(SEARCH($A18,INDEX(Index_CT!$D$2:$D$36,MATCH(AF$3,Index_CT!$A$2:$A$36,0)))),"X","")</f>
        <v/>
      </c>
      <c r="AG18" s="39" t="str">
        <f>IF(ISNUMBER(SEARCH($A18,INDEX(Index_CT!$D$2:$D$36,MATCH(AG$3,Index_CT!$A$2:$A$36,0)))),"X","")</f>
        <v/>
      </c>
      <c r="AH18" s="39" t="str">
        <f>IF(ISNUMBER(SEARCH($A18,INDEX(Index_CT!$D$2:$D$36,MATCH(AH$3,Index_CT!$A$2:$A$36,0)))),"X","")</f>
        <v/>
      </c>
      <c r="AI18" s="39" t="str">
        <f>IF(ISNUMBER(SEARCH($A18,INDEX(Index_CT!$D$2:$D$36,MATCH(AI$3,Index_CT!$A$2:$A$36,0)))),"X","")</f>
        <v/>
      </c>
      <c r="AJ18" s="39" t="str">
        <f>IF(ISNUMBER(SEARCH($A18,INDEX(Index_CT!$D$2:$D$36,MATCH(AJ$3,Index_CT!$A$2:$A$36,0)))),"X","")</f>
        <v/>
      </c>
      <c r="AK18" s="39" t="str">
        <f>IF(ISNUMBER(SEARCH($A18,INDEX(Index_CT!$D$2:$D$36,MATCH(AK$3,Index_CT!$A$2:$A$36,0)))),"X","")</f>
        <v/>
      </c>
      <c r="AL18" s="39" t="str">
        <f>IF(ISNUMBER(SEARCH($A18,INDEX(Index_CT!$D$2:$D$36,MATCH(AL$3,Index_CT!$A$2:$A$36,0)))),"X","")</f>
        <v/>
      </c>
      <c r="AM18" s="39" t="str">
        <f>IF(ISNUMBER(SEARCH($A18,INDEX(Index_CT!$D$2:$D$36,MATCH(AM$3,Index_CT!$A$2:$A$36,0)))),"X","")</f>
        <v/>
      </c>
      <c r="AN18" s="39" t="str">
        <f>IF(ISNUMBER(SEARCH($A18,INDEX(Index_CT!$D$2:$D$36,MATCH(AN$3,Index_CT!$A$2:$A$36,0)))),"X","")</f>
        <v/>
      </c>
      <c r="AO18" s="39" t="str">
        <f>IF(ISNUMBER(SEARCH($A18,INDEX(Index_CT!$D$2:$D$36,MATCH(AO$3,Index_CT!$A$2:$A$36,0)))),"X","")</f>
        <v/>
      </c>
      <c r="AP18" s="39" t="str">
        <f>IF(ISNUMBER(SEARCH($A18,INDEX(Index_CT!$D$2:$D$36,MATCH(AP$3,Index_CT!$A$2:$A$36,0)))),"X","")</f>
        <v/>
      </c>
      <c r="AQ18" s="39" t="str">
        <f>IF(ISNUMBER(SEARCH($A18,INDEX(Index_CT!$D$2:$D$36,MATCH(AQ$3,Index_CT!$A$2:$A$36,0)))),"X","")</f>
        <v/>
      </c>
      <c r="AR18" s="39" t="str">
        <f>IF(ISNUMBER(SEARCH($A18,INDEX(Index_CT!$D$2:$D$36,MATCH(AR$3,Index_CT!$A$2:$A$36,0)))),"X","")</f>
        <v/>
      </c>
      <c r="AS18" s="39" t="str">
        <f>IF(ISNUMBER(SEARCH($A18,INDEX(Index_CT!$D$2:$D$36,MATCH(AS$3,Index_CT!$A$2:$A$36,0)))),"X","")</f>
        <v/>
      </c>
      <c r="AT18" s="39" t="str">
        <f>IF(ISNUMBER(SEARCH($A18,INDEX(Index_CT!$D$2:$D$36,MATCH(AT$3,Index_CT!$A$2:$A$36,0)))),"X","")</f>
        <v/>
      </c>
      <c r="AU18" s="39" t="str">
        <f>IF(ISNUMBER(SEARCH($A18,INDEX(Index_CT!$D$2:$D$36,MATCH(AU$3,Index_CT!$A$2:$A$36,0)))),"X","")</f>
        <v/>
      </c>
      <c r="AV18" s="39" t="str">
        <f>IF(ISNUMBER(SEARCH($A18,INDEX(Index_CT!$D$2:$D$36,MATCH(AV$3,Index_CT!$A$2:$A$36,0)))),"X","")</f>
        <v/>
      </c>
      <c r="AW18" s="39" t="str">
        <f>IF(ISNUMBER(SEARCH($A18,INDEX(Index_CT!$D$2:$D$36,MATCH(AW$3,Index_CT!$A$2:$A$36,0)))),"X","")</f>
        <v/>
      </c>
      <c r="AX18" s="39" t="str">
        <f>IF(ISNUMBER(SEARCH($A18,INDEX(Index_CT!$D$2:$D$36,MATCH(AX$3,Index_CT!$A$2:$A$36,0)))),"X","")</f>
        <v/>
      </c>
      <c r="AY18" s="39" t="str">
        <f>IF(ISNUMBER(SEARCH($A18,INDEX(Index_CT!$D$2:$D$36,MATCH(AY$3,Index_CT!$A$2:$A$36,0)))),"X","")</f>
        <v/>
      </c>
      <c r="AZ18" s="39" t="str">
        <f>IF(ISNUMBER(SEARCH($A18,INDEX(Index_CT!$D$2:$D$36,MATCH(AZ$3,Index_CT!$A$2:$A$36,0)))),"X","")</f>
        <v/>
      </c>
      <c r="BA18" s="39" t="str">
        <f>IF(ISNUMBER(SEARCH($A18,INDEX(Index_CT!$D$2:$D$36,MATCH(BA$3,Index_CT!$A$2:$A$36,0)))),"X","")</f>
        <v/>
      </c>
      <c r="BB18" s="39" t="str">
        <f>IF(ISNUMBER(SEARCH($A18,INDEX(Index_CT!$D$2:$D$36,MATCH(BB$3,Index_CT!$A$2:$A$36,0)))),"X","")</f>
        <v/>
      </c>
      <c r="BC18" s="39" t="str">
        <f>IF(ISNUMBER(SEARCH($A18,INDEX(Index_CT!$D$2:$D$36,MATCH(BC$3,Index_CT!$A$2:$A$36,0)))),"X","")</f>
        <v/>
      </c>
      <c r="BD18" s="39" t="str">
        <f>IF(ISNUMBER(SEARCH($A18,INDEX(Index_CT!$D$2:$D$36,MATCH(BD$3,Index_CT!$A$2:$A$36,0)))),"X","")</f>
        <v/>
      </c>
      <c r="BE18" s="39" t="str">
        <f>IF(ISNUMBER(SEARCH($A18,INDEX(Index_CT!$D$2:$D$36,MATCH(BE$3,Index_CT!$A$2:$A$36,0)))),"X","")</f>
        <v/>
      </c>
      <c r="BF18" s="39" t="str">
        <f>IF(ISNUMBER(SEARCH($A18,INDEX(Index_CT!$D$2:$D$36,MATCH(BF$3,Index_CT!$A$2:$A$36,0)))),"X","")</f>
        <v/>
      </c>
      <c r="BG18" s="39" t="str">
        <f>IF(ISNUMBER(SEARCH($A18,INDEX(Index_CT!$D$2:$D$36,MATCH(BG$3,Index_CT!$A$2:$A$36,0)))),"X","")</f>
        <v/>
      </c>
      <c r="BH18" s="39" t="str">
        <f>IF(ISNUMBER(SEARCH($A18,INDEX(Index_CT!$D$2:$D$36,MATCH(BH$3,Index_CT!$A$2:$A$36,0)))),"X","")</f>
        <v/>
      </c>
      <c r="BI18" s="39" t="str">
        <f>IF(ISNUMBER(SEARCH($A18,INDEX(Index_CT!$D$2:$D$36,MATCH(BI$3,Index_CT!$A$2:$A$36,0)))),"X","")</f>
        <v/>
      </c>
      <c r="BJ18" s="39" t="str">
        <f>IF(ISNUMBER(SEARCH($A18,INDEX(Index_CT!$D$2:$D$36,MATCH(BJ$3,Index_CT!$A$2:$A$36,0)))),"X","")</f>
        <v/>
      </c>
      <c r="BK18" s="39" t="str">
        <f>IF(ISNUMBER(SEARCH($A18,INDEX(Index_CT!$D$2:$D$36,MATCH(BK$3,Index_CT!$A$2:$A$36,0)))),"X","")</f>
        <v/>
      </c>
      <c r="BL18" s="39" t="str">
        <f>IF(ISNUMBER(SEARCH($A18,INDEX(Index_CT!$D$2:$D$36,MATCH(BL$3,Index_CT!$A$2:$A$36,0)))),"X","")</f>
        <v/>
      </c>
      <c r="BM18" s="39" t="str">
        <f>IF(ISNUMBER(SEARCH($A18,INDEX(Index_CT!$D$2:$D$36,MATCH(BM$3,Index_CT!$A$2:$A$36,0)))),"X","")</f>
        <v/>
      </c>
      <c r="BN18" s="39" t="str">
        <f>IF(ISNUMBER(SEARCH($A18,INDEX(Index_CT!$D$2:$D$36,MATCH(BN$3,Index_CT!$A$2:$A$36,0)))),"X","")</f>
        <v/>
      </c>
      <c r="BO18" s="39" t="str">
        <f>IF(ISNUMBER(SEARCH($A18,INDEX(Index_CT!$D$2:$D$36,MATCH(BO$3,Index_CT!$A$2:$A$36,0)))),"X","")</f>
        <v/>
      </c>
      <c r="BP18" s="39" t="str">
        <f>IF(ISNUMBER(SEARCH($A18,INDEX(Index_CT!$D$2:$D$36,MATCH(BP$3,Index_CT!$A$2:$A$36,0)))),"X","")</f>
        <v/>
      </c>
      <c r="BQ18" s="39" t="str">
        <f>IF(ISNUMBER(SEARCH($A18,INDEX(Index_CT!$D$2:$D$36,MATCH(BQ$3,Index_CT!$A$2:$A$36,0)))),"X","")</f>
        <v/>
      </c>
      <c r="BR18" s="39" t="str">
        <f>IF(ISNUMBER(SEARCH($A18,INDEX(Index_CT!$D$2:$D$36,MATCH(BR$3,Index_CT!$A$2:$A$36,0)))),"X","")</f>
        <v/>
      </c>
    </row>
    <row r="19" spans="1:70" ht="26.25" customHeight="1" x14ac:dyDescent="0.25">
      <c r="A19" s="33" t="s">
        <v>349</v>
      </c>
      <c r="B19" s="34" t="s">
        <v>521</v>
      </c>
      <c r="C19" s="33" t="s">
        <v>83</v>
      </c>
      <c r="D19" s="33">
        <f t="shared" si="0"/>
        <v>3</v>
      </c>
      <c r="E19" s="39" t="str">
        <f>IF(ISNUMBER(SEARCH($A19,INDEX(Index_CT!$D$2:$D$36,MATCH(E$3,Index_CT!$A$2:$A$36,0)))),"X","")</f>
        <v/>
      </c>
      <c r="F19" s="39" t="str">
        <f>IF(ISNUMBER(SEARCH($A19,INDEX(Index_CT!$D$2:$D$36,MATCH(F$3,Index_CT!$A$2:$A$36,0)))),"X","")</f>
        <v/>
      </c>
      <c r="G19" s="39" t="str">
        <f>IF(ISNUMBER(SEARCH($A19,INDEX(Index_CT!$D$2:$D$36,MATCH(G$3,Index_CT!$A$2:$A$36,0)))),"X","")</f>
        <v/>
      </c>
      <c r="H19" s="39" t="str">
        <f>IF(ISNUMBER(SEARCH($A19,INDEX(Index_CT!$D$2:$D$36,MATCH(H$3,Index_CT!$A$2:$A$36,0)))),"X","")</f>
        <v/>
      </c>
      <c r="I19" s="39" t="str">
        <f>IF(ISNUMBER(SEARCH($A19,INDEX(Index_CT!$D$2:$D$36,MATCH(I$3,Index_CT!$A$2:$A$36,0)))),"X","")</f>
        <v/>
      </c>
      <c r="J19" s="39" t="str">
        <f>IF(ISNUMBER(SEARCH($A19,INDEX(Index_CT!$D$2:$D$36,MATCH(J$3,Index_CT!$A$2:$A$36,0)))),"X","")</f>
        <v/>
      </c>
      <c r="K19" s="39" t="str">
        <f>IF(ISNUMBER(SEARCH($A19,INDEX(Index_CT!$D$2:$D$36,MATCH(K$3,Index_CT!$A$2:$A$36,0)))),"X","")</f>
        <v/>
      </c>
      <c r="L19" s="39" t="str">
        <f>IF(ISNUMBER(SEARCH($A19,INDEX(Index_CT!$D$2:$D$36,MATCH(L$3,Index_CT!$A$2:$A$36,0)))),"X","")</f>
        <v/>
      </c>
      <c r="M19" s="39" t="str">
        <f>IF(ISNUMBER(SEARCH($A19,INDEX(Index_CT!$D$2:$D$36,MATCH(M$3,Index_CT!$A$2:$A$36,0)))),"X","")</f>
        <v/>
      </c>
      <c r="N19" s="39" t="str">
        <f>IF(ISNUMBER(SEARCH($A19,INDEX(Index_CT!$D$2:$D$36,MATCH(N$3,Index_CT!$A$2:$A$36,0)))),"X","")</f>
        <v/>
      </c>
      <c r="O19" s="39" t="str">
        <f>IF(ISNUMBER(SEARCH($A19,INDEX(Index_CT!$D$2:$D$36,MATCH(O$3,Index_CT!$A$2:$A$36,0)))),"X","")</f>
        <v/>
      </c>
      <c r="P19" s="39" t="str">
        <f>IF(ISNUMBER(SEARCH($A19,INDEX(Index_CT!$D$2:$D$36,MATCH(P$3,Index_CT!$A$2:$A$36,0)))),"X","")</f>
        <v/>
      </c>
      <c r="Q19" s="39" t="str">
        <f>IF(ISNUMBER(SEARCH($A19,INDEX(Index_CT!$D$2:$D$36,MATCH(Q$3,Index_CT!$A$2:$A$36,0)))),"X","")</f>
        <v/>
      </c>
      <c r="R19" s="39" t="str">
        <f>IF(ISNUMBER(SEARCH($A19,INDEX(Index_CT!$D$2:$D$36,MATCH(R$3,Index_CT!$A$2:$A$36,0)))),"X","")</f>
        <v/>
      </c>
      <c r="S19" s="39" t="str">
        <f>IF(ISNUMBER(SEARCH($A19,INDEX(Index_CT!$D$2:$D$36,MATCH(S$3,Index_CT!$A$2:$A$36,0)))),"X","")</f>
        <v/>
      </c>
      <c r="T19" s="39" t="str">
        <f>IF(ISNUMBER(SEARCH($A19,INDEX(Index_CT!$D$2:$D$36,MATCH(T$3,Index_CT!$A$2:$A$36,0)))),"X","")</f>
        <v/>
      </c>
      <c r="U19" s="39" t="str">
        <f>IF(ISNUMBER(SEARCH($A19,INDEX(Index_CT!$D$2:$D$36,MATCH(U$3,Index_CT!$A$2:$A$36,0)))),"X","")</f>
        <v/>
      </c>
      <c r="V19" s="39" t="str">
        <f>IF(ISNUMBER(SEARCH($A19,INDEX(Index_CT!$D$2:$D$36,MATCH(V$3,Index_CT!$A$2:$A$36,0)))),"X","")</f>
        <v/>
      </c>
      <c r="W19" s="39" t="str">
        <f>IF(ISNUMBER(SEARCH($A19,INDEX(Index_CT!$D$2:$D$36,MATCH(W$3,Index_CT!$A$2:$A$36,0)))),"X","")</f>
        <v/>
      </c>
      <c r="X19" s="39" t="str">
        <f>IF(ISNUMBER(SEARCH($A19,INDEX(Index_CT!$D$2:$D$36,MATCH(X$3,Index_CT!$A$2:$A$36,0)))),"X","")</f>
        <v/>
      </c>
      <c r="Y19" s="39" t="str">
        <f>IF(ISNUMBER(SEARCH($A19,INDEX(Index_CT!$D$2:$D$36,MATCH(Y$3,Index_CT!$A$2:$A$36,0)))),"X","")</f>
        <v/>
      </c>
      <c r="Z19" s="39" t="str">
        <f>IF(ISNUMBER(SEARCH($A19,INDEX(Index_CT!$D$2:$D$36,MATCH(Z$3,Index_CT!$A$2:$A$36,0)))),"X","")</f>
        <v/>
      </c>
      <c r="AA19" s="39" t="str">
        <f>IF(ISNUMBER(SEARCH($A19,INDEX(Index_CT!$D$2:$D$36,MATCH(AA$3,Index_CT!$A$2:$A$36,0)))),"X","")</f>
        <v/>
      </c>
      <c r="AB19" s="39" t="str">
        <f>IF(ISNUMBER(SEARCH($A19,INDEX(Index_CT!$D$2:$D$36,MATCH(AB$3,Index_CT!$A$2:$A$36,0)))),"X","")</f>
        <v/>
      </c>
      <c r="AC19" s="39" t="str">
        <f>IF(ISNUMBER(SEARCH($A19,INDEX(Index_CT!$D$2:$D$36,MATCH(AC$3,Index_CT!$A$2:$A$36,0)))),"X","")</f>
        <v/>
      </c>
      <c r="AD19" s="39" t="str">
        <f>IF(ISNUMBER(SEARCH($A19,INDEX(Index_CT!$D$2:$D$36,MATCH(AD$3,Index_CT!$A$2:$A$36,0)))),"X","")</f>
        <v/>
      </c>
      <c r="AE19" s="39" t="str">
        <f>IF(ISNUMBER(SEARCH($A19,INDEX(Index_CT!$D$2:$D$36,MATCH(AE$3,Index_CT!$A$2:$A$36,0)))),"X","")</f>
        <v/>
      </c>
      <c r="AF19" s="39" t="str">
        <f>IF(ISNUMBER(SEARCH($A19,INDEX(Index_CT!$D$2:$D$36,MATCH(AF$3,Index_CT!$A$2:$A$36,0)))),"X","")</f>
        <v>X</v>
      </c>
      <c r="AG19" s="39" t="str">
        <f>IF(ISNUMBER(SEARCH($A19,INDEX(Index_CT!$D$2:$D$36,MATCH(AG$3,Index_CT!$A$2:$A$36,0)))),"X","")</f>
        <v>X</v>
      </c>
      <c r="AH19" s="39" t="str">
        <f>IF(ISNUMBER(SEARCH($A19,INDEX(Index_CT!$D$2:$D$36,MATCH(AH$3,Index_CT!$A$2:$A$36,0)))),"X","")</f>
        <v>X</v>
      </c>
      <c r="AI19" s="39" t="str">
        <f>IF(ISNUMBER(SEARCH($A19,INDEX(Index_CT!$D$2:$D$36,MATCH(AI$3,Index_CT!$A$2:$A$36,0)))),"X","")</f>
        <v/>
      </c>
      <c r="AJ19" s="39" t="str">
        <f>IF(ISNUMBER(SEARCH($A19,INDEX(Index_CT!$D$2:$D$36,MATCH(AJ$3,Index_CT!$A$2:$A$36,0)))),"X","")</f>
        <v/>
      </c>
      <c r="AK19" s="39" t="str">
        <f>IF(ISNUMBER(SEARCH($A19,INDEX(Index_CT!$D$2:$D$36,MATCH(AK$3,Index_CT!$A$2:$A$36,0)))),"X","")</f>
        <v/>
      </c>
      <c r="AL19" s="39" t="str">
        <f>IF(ISNUMBER(SEARCH($A19,INDEX(Index_CT!$D$2:$D$36,MATCH(AL$3,Index_CT!$A$2:$A$36,0)))),"X","")</f>
        <v/>
      </c>
      <c r="AM19" s="39" t="str">
        <f>IF(ISNUMBER(SEARCH($A19,INDEX(Index_CT!$D$2:$D$36,MATCH(AM$3,Index_CT!$A$2:$A$36,0)))),"X","")</f>
        <v/>
      </c>
      <c r="AN19" s="39" t="str">
        <f>IF(ISNUMBER(SEARCH($A19,INDEX(Index_CT!$D$2:$D$36,MATCH(AN$3,Index_CT!$A$2:$A$36,0)))),"X","")</f>
        <v/>
      </c>
      <c r="AO19" s="39" t="str">
        <f>IF(ISNUMBER(SEARCH($A19,INDEX(Index_CT!$D$2:$D$36,MATCH(AO$3,Index_CT!$A$2:$A$36,0)))),"X","")</f>
        <v/>
      </c>
      <c r="AP19" s="39" t="str">
        <f>IF(ISNUMBER(SEARCH($A19,INDEX(Index_CT!$D$2:$D$36,MATCH(AP$3,Index_CT!$A$2:$A$36,0)))),"X","")</f>
        <v/>
      </c>
      <c r="AQ19" s="39" t="str">
        <f>IF(ISNUMBER(SEARCH($A19,INDEX(Index_CT!$D$2:$D$36,MATCH(AQ$3,Index_CT!$A$2:$A$36,0)))),"X","")</f>
        <v/>
      </c>
      <c r="AR19" s="39" t="str">
        <f>IF(ISNUMBER(SEARCH($A19,INDEX(Index_CT!$D$2:$D$36,MATCH(AR$3,Index_CT!$A$2:$A$36,0)))),"X","")</f>
        <v/>
      </c>
      <c r="AS19" s="39" t="str">
        <f>IF(ISNUMBER(SEARCH($A19,INDEX(Index_CT!$D$2:$D$36,MATCH(AS$3,Index_CT!$A$2:$A$36,0)))),"X","")</f>
        <v/>
      </c>
      <c r="AT19" s="39" t="str">
        <f>IF(ISNUMBER(SEARCH($A19,INDEX(Index_CT!$D$2:$D$36,MATCH(AT$3,Index_CT!$A$2:$A$36,0)))),"X","")</f>
        <v/>
      </c>
      <c r="AU19" s="39" t="str">
        <f>IF(ISNUMBER(SEARCH($A19,INDEX(Index_CT!$D$2:$D$36,MATCH(AU$3,Index_CT!$A$2:$A$36,0)))),"X","")</f>
        <v/>
      </c>
      <c r="AV19" s="39" t="str">
        <f>IF(ISNUMBER(SEARCH($A19,INDEX(Index_CT!$D$2:$D$36,MATCH(AV$3,Index_CT!$A$2:$A$36,0)))),"X","")</f>
        <v/>
      </c>
      <c r="AW19" s="39" t="str">
        <f>IF(ISNUMBER(SEARCH($A19,INDEX(Index_CT!$D$2:$D$36,MATCH(AW$3,Index_CT!$A$2:$A$36,0)))),"X","")</f>
        <v/>
      </c>
      <c r="AX19" s="39" t="str">
        <f>IF(ISNUMBER(SEARCH($A19,INDEX(Index_CT!$D$2:$D$36,MATCH(AX$3,Index_CT!$A$2:$A$36,0)))),"X","")</f>
        <v/>
      </c>
      <c r="AY19" s="39" t="str">
        <f>IF(ISNUMBER(SEARCH($A19,INDEX(Index_CT!$D$2:$D$36,MATCH(AY$3,Index_CT!$A$2:$A$36,0)))),"X","")</f>
        <v/>
      </c>
      <c r="AZ19" s="39" t="str">
        <f>IF(ISNUMBER(SEARCH($A19,INDEX(Index_CT!$D$2:$D$36,MATCH(AZ$3,Index_CT!$A$2:$A$36,0)))),"X","")</f>
        <v/>
      </c>
      <c r="BA19" s="39" t="str">
        <f>IF(ISNUMBER(SEARCH($A19,INDEX(Index_CT!$D$2:$D$36,MATCH(BA$3,Index_CT!$A$2:$A$36,0)))),"X","")</f>
        <v/>
      </c>
      <c r="BB19" s="39" t="str">
        <f>IF(ISNUMBER(SEARCH($A19,INDEX(Index_CT!$D$2:$D$36,MATCH(BB$3,Index_CT!$A$2:$A$36,0)))),"X","")</f>
        <v/>
      </c>
      <c r="BC19" s="39" t="str">
        <f>IF(ISNUMBER(SEARCH($A19,INDEX(Index_CT!$D$2:$D$36,MATCH(BC$3,Index_CT!$A$2:$A$36,0)))),"X","")</f>
        <v/>
      </c>
      <c r="BD19" s="39" t="str">
        <f>IF(ISNUMBER(SEARCH($A19,INDEX(Index_CT!$D$2:$D$36,MATCH(BD$3,Index_CT!$A$2:$A$36,0)))),"X","")</f>
        <v/>
      </c>
      <c r="BE19" s="39" t="str">
        <f>IF(ISNUMBER(SEARCH($A19,INDEX(Index_CT!$D$2:$D$36,MATCH(BE$3,Index_CT!$A$2:$A$36,0)))),"X","")</f>
        <v/>
      </c>
      <c r="BF19" s="39" t="str">
        <f>IF(ISNUMBER(SEARCH($A19,INDEX(Index_CT!$D$2:$D$36,MATCH(BF$3,Index_CT!$A$2:$A$36,0)))),"X","")</f>
        <v/>
      </c>
      <c r="BG19" s="39" t="str">
        <f>IF(ISNUMBER(SEARCH($A19,INDEX(Index_CT!$D$2:$D$36,MATCH(BG$3,Index_CT!$A$2:$A$36,0)))),"X","")</f>
        <v/>
      </c>
      <c r="BH19" s="39" t="str">
        <f>IF(ISNUMBER(SEARCH($A19,INDEX(Index_CT!$D$2:$D$36,MATCH(BH$3,Index_CT!$A$2:$A$36,0)))),"X","")</f>
        <v/>
      </c>
      <c r="BI19" s="39" t="str">
        <f>IF(ISNUMBER(SEARCH($A19,INDEX(Index_CT!$D$2:$D$36,MATCH(BI$3,Index_CT!$A$2:$A$36,0)))),"X","")</f>
        <v/>
      </c>
      <c r="BJ19" s="39" t="str">
        <f>IF(ISNUMBER(SEARCH($A19,INDEX(Index_CT!$D$2:$D$36,MATCH(BJ$3,Index_CT!$A$2:$A$36,0)))),"X","")</f>
        <v/>
      </c>
      <c r="BK19" s="39" t="str">
        <f>IF(ISNUMBER(SEARCH($A19,INDEX(Index_CT!$D$2:$D$36,MATCH(BK$3,Index_CT!$A$2:$A$36,0)))),"X","")</f>
        <v/>
      </c>
      <c r="BL19" s="39" t="str">
        <f>IF(ISNUMBER(SEARCH($A19,INDEX(Index_CT!$D$2:$D$36,MATCH(BL$3,Index_CT!$A$2:$A$36,0)))),"X","")</f>
        <v/>
      </c>
      <c r="BM19" s="39" t="str">
        <f>IF(ISNUMBER(SEARCH($A19,INDEX(Index_CT!$D$2:$D$36,MATCH(BM$3,Index_CT!$A$2:$A$36,0)))),"X","")</f>
        <v/>
      </c>
      <c r="BN19" s="39" t="str">
        <f>IF(ISNUMBER(SEARCH($A19,INDEX(Index_CT!$D$2:$D$36,MATCH(BN$3,Index_CT!$A$2:$A$36,0)))),"X","")</f>
        <v/>
      </c>
      <c r="BO19" s="39" t="str">
        <f>IF(ISNUMBER(SEARCH($A19,INDEX(Index_CT!$D$2:$D$36,MATCH(BO$3,Index_CT!$A$2:$A$36,0)))),"X","")</f>
        <v/>
      </c>
      <c r="BP19" s="39" t="str">
        <f>IF(ISNUMBER(SEARCH($A19,INDEX(Index_CT!$D$2:$D$36,MATCH(BP$3,Index_CT!$A$2:$A$36,0)))),"X","")</f>
        <v/>
      </c>
      <c r="BQ19" s="39" t="str">
        <f>IF(ISNUMBER(SEARCH($A19,INDEX(Index_CT!$D$2:$D$36,MATCH(BQ$3,Index_CT!$A$2:$A$36,0)))),"X","")</f>
        <v/>
      </c>
      <c r="BR19" s="39" t="str">
        <f>IF(ISNUMBER(SEARCH($A19,INDEX(Index_CT!$D$2:$D$36,MATCH(BR$3,Index_CT!$A$2:$A$36,0)))),"X","")</f>
        <v/>
      </c>
    </row>
    <row r="20" spans="1:70" x14ac:dyDescent="0.25">
      <c r="A20" s="33" t="s">
        <v>524</v>
      </c>
      <c r="B20" s="34" t="s">
        <v>525</v>
      </c>
      <c r="C20" s="33" t="s">
        <v>53</v>
      </c>
      <c r="D20" s="33">
        <f t="shared" si="0"/>
        <v>1</v>
      </c>
      <c r="E20" s="39" t="str">
        <f>IF(ISNUMBER(SEARCH($A20,INDEX(Index_CT!$D$2:$D$36,MATCH(E$3,Index_CT!$A$2:$A$36,0)))),"X","")</f>
        <v/>
      </c>
      <c r="F20" s="39" t="str">
        <f>IF(ISNUMBER(SEARCH($A20,INDEX(Index_CT!$D$2:$D$36,MATCH(F$3,Index_CT!$A$2:$A$36,0)))),"X","")</f>
        <v/>
      </c>
      <c r="G20" s="39" t="str">
        <f>IF(ISNUMBER(SEARCH($A20,INDEX(Index_CT!$D$2:$D$36,MATCH(G$3,Index_CT!$A$2:$A$36,0)))),"X","")</f>
        <v/>
      </c>
      <c r="H20" s="39" t="str">
        <f>IF(ISNUMBER(SEARCH($A20,INDEX(Index_CT!$D$2:$D$36,MATCH(H$3,Index_CT!$A$2:$A$36,0)))),"X","")</f>
        <v/>
      </c>
      <c r="I20" s="39" t="str">
        <f>IF(ISNUMBER(SEARCH($A20,INDEX(Index_CT!$D$2:$D$36,MATCH(I$3,Index_CT!$A$2:$A$36,0)))),"X","")</f>
        <v/>
      </c>
      <c r="J20" s="39" t="str">
        <f>IF(ISNUMBER(SEARCH($A20,INDEX(Index_CT!$D$2:$D$36,MATCH(J$3,Index_CT!$A$2:$A$36,0)))),"X","")</f>
        <v/>
      </c>
      <c r="K20" s="39" t="str">
        <f>IF(ISNUMBER(SEARCH($A20,INDEX(Index_CT!$D$2:$D$36,MATCH(K$3,Index_CT!$A$2:$A$36,0)))),"X","")</f>
        <v/>
      </c>
      <c r="L20" s="39" t="str">
        <f>IF(ISNUMBER(SEARCH($A20,INDEX(Index_CT!$D$2:$D$36,MATCH(L$3,Index_CT!$A$2:$A$36,0)))),"X","")</f>
        <v/>
      </c>
      <c r="M20" s="39" t="str">
        <f>IF(ISNUMBER(SEARCH($A20,INDEX(Index_CT!$D$2:$D$36,MATCH(M$3,Index_CT!$A$2:$A$36,0)))),"X","")</f>
        <v/>
      </c>
      <c r="N20" s="39" t="str">
        <f>IF(ISNUMBER(SEARCH($A20,INDEX(Index_CT!$D$2:$D$36,MATCH(N$3,Index_CT!$A$2:$A$36,0)))),"X","")</f>
        <v/>
      </c>
      <c r="O20" s="39" t="str">
        <f>IF(ISNUMBER(SEARCH($A20,INDEX(Index_CT!$D$2:$D$36,MATCH(O$3,Index_CT!$A$2:$A$36,0)))),"X","")</f>
        <v/>
      </c>
      <c r="P20" s="39" t="str">
        <f>IF(ISNUMBER(SEARCH($A20,INDEX(Index_CT!$D$2:$D$36,MATCH(P$3,Index_CT!$A$2:$A$36,0)))),"X","")</f>
        <v>X</v>
      </c>
      <c r="Q20" s="39" t="str">
        <f>IF(ISNUMBER(SEARCH($A20,INDEX(Index_CT!$D$2:$D$36,MATCH(Q$3,Index_CT!$A$2:$A$36,0)))),"X","")</f>
        <v/>
      </c>
      <c r="R20" s="39" t="str">
        <f>IF(ISNUMBER(SEARCH($A20,INDEX(Index_CT!$D$2:$D$36,MATCH(R$3,Index_CT!$A$2:$A$36,0)))),"X","")</f>
        <v/>
      </c>
      <c r="S20" s="39" t="str">
        <f>IF(ISNUMBER(SEARCH($A20,INDEX(Index_CT!$D$2:$D$36,MATCH(S$3,Index_CT!$A$2:$A$36,0)))),"X","")</f>
        <v/>
      </c>
      <c r="T20" s="39" t="str">
        <f>IF(ISNUMBER(SEARCH($A20,INDEX(Index_CT!$D$2:$D$36,MATCH(T$3,Index_CT!$A$2:$A$36,0)))),"X","")</f>
        <v/>
      </c>
      <c r="U20" s="39" t="str">
        <f>IF(ISNUMBER(SEARCH($A20,INDEX(Index_CT!$D$2:$D$36,MATCH(U$3,Index_CT!$A$2:$A$36,0)))),"X","")</f>
        <v/>
      </c>
      <c r="V20" s="39" t="str">
        <f>IF(ISNUMBER(SEARCH($A20,INDEX(Index_CT!$D$2:$D$36,MATCH(V$3,Index_CT!$A$2:$A$36,0)))),"X","")</f>
        <v/>
      </c>
      <c r="W20" s="39" t="str">
        <f>IF(ISNUMBER(SEARCH($A20,INDEX(Index_CT!$D$2:$D$36,MATCH(W$3,Index_CT!$A$2:$A$36,0)))),"X","")</f>
        <v/>
      </c>
      <c r="X20" s="39" t="str">
        <f>IF(ISNUMBER(SEARCH($A20,INDEX(Index_CT!$D$2:$D$36,MATCH(X$3,Index_CT!$A$2:$A$36,0)))),"X","")</f>
        <v/>
      </c>
      <c r="Y20" s="39" t="str">
        <f>IF(ISNUMBER(SEARCH($A20,INDEX(Index_CT!$D$2:$D$36,MATCH(Y$3,Index_CT!$A$2:$A$36,0)))),"X","")</f>
        <v/>
      </c>
      <c r="Z20" s="39" t="str">
        <f>IF(ISNUMBER(SEARCH($A20,INDEX(Index_CT!$D$2:$D$36,MATCH(Z$3,Index_CT!$A$2:$A$36,0)))),"X","")</f>
        <v/>
      </c>
      <c r="AA20" s="39" t="str">
        <f>IF(ISNUMBER(SEARCH($A20,INDEX(Index_CT!$D$2:$D$36,MATCH(AA$3,Index_CT!$A$2:$A$36,0)))),"X","")</f>
        <v/>
      </c>
      <c r="AB20" s="39" t="str">
        <f>IF(ISNUMBER(SEARCH($A20,INDEX(Index_CT!$D$2:$D$36,MATCH(AB$3,Index_CT!$A$2:$A$36,0)))),"X","")</f>
        <v/>
      </c>
      <c r="AC20" s="39" t="str">
        <f>IF(ISNUMBER(SEARCH($A20,INDEX(Index_CT!$D$2:$D$36,MATCH(AC$3,Index_CT!$A$2:$A$36,0)))),"X","")</f>
        <v/>
      </c>
      <c r="AD20" s="39" t="str">
        <f>IF(ISNUMBER(SEARCH($A20,INDEX(Index_CT!$D$2:$D$36,MATCH(AD$3,Index_CT!$A$2:$A$36,0)))),"X","")</f>
        <v/>
      </c>
      <c r="AE20" s="39" t="str">
        <f>IF(ISNUMBER(SEARCH($A20,INDEX(Index_CT!$D$2:$D$36,MATCH(AE$3,Index_CT!$A$2:$A$36,0)))),"X","")</f>
        <v/>
      </c>
      <c r="AF20" s="39" t="str">
        <f>IF(ISNUMBER(SEARCH($A20,INDEX(Index_CT!$D$2:$D$36,MATCH(AF$3,Index_CT!$A$2:$A$36,0)))),"X","")</f>
        <v/>
      </c>
      <c r="AG20" s="39" t="str">
        <f>IF(ISNUMBER(SEARCH($A20,INDEX(Index_CT!$D$2:$D$36,MATCH(AG$3,Index_CT!$A$2:$A$36,0)))),"X","")</f>
        <v/>
      </c>
      <c r="AH20" s="39" t="str">
        <f>IF(ISNUMBER(SEARCH($A20,INDEX(Index_CT!$D$2:$D$36,MATCH(AH$3,Index_CT!$A$2:$A$36,0)))),"X","")</f>
        <v/>
      </c>
      <c r="AI20" s="39" t="str">
        <f>IF(ISNUMBER(SEARCH($A20,INDEX(Index_CT!$D$2:$D$36,MATCH(AI$3,Index_CT!$A$2:$A$36,0)))),"X","")</f>
        <v/>
      </c>
      <c r="AJ20" s="39" t="str">
        <f>IF(ISNUMBER(SEARCH($A20,INDEX(Index_CT!$D$2:$D$36,MATCH(AJ$3,Index_CT!$A$2:$A$36,0)))),"X","")</f>
        <v/>
      </c>
      <c r="AK20" s="39" t="str">
        <f>IF(ISNUMBER(SEARCH($A20,INDEX(Index_CT!$D$2:$D$36,MATCH(AK$3,Index_CT!$A$2:$A$36,0)))),"X","")</f>
        <v/>
      </c>
      <c r="AL20" s="39" t="str">
        <f>IF(ISNUMBER(SEARCH($A20,INDEX(Index_CT!$D$2:$D$36,MATCH(AL$3,Index_CT!$A$2:$A$36,0)))),"X","")</f>
        <v/>
      </c>
      <c r="AM20" s="39" t="str">
        <f>IF(ISNUMBER(SEARCH($A20,INDEX(Index_CT!$D$2:$D$36,MATCH(AM$3,Index_CT!$A$2:$A$36,0)))),"X","")</f>
        <v/>
      </c>
      <c r="AN20" s="39" t="str">
        <f>IF(ISNUMBER(SEARCH($A20,INDEX(Index_CT!$D$2:$D$36,MATCH(AN$3,Index_CT!$A$2:$A$36,0)))),"X","")</f>
        <v/>
      </c>
      <c r="AO20" s="39" t="str">
        <f>IF(ISNUMBER(SEARCH($A20,INDEX(Index_CT!$D$2:$D$36,MATCH(AO$3,Index_CT!$A$2:$A$36,0)))),"X","")</f>
        <v/>
      </c>
      <c r="AP20" s="39" t="str">
        <f>IF(ISNUMBER(SEARCH($A20,INDEX(Index_CT!$D$2:$D$36,MATCH(AP$3,Index_CT!$A$2:$A$36,0)))),"X","")</f>
        <v/>
      </c>
      <c r="AQ20" s="39" t="str">
        <f>IF(ISNUMBER(SEARCH($A20,INDEX(Index_CT!$D$2:$D$36,MATCH(AQ$3,Index_CT!$A$2:$A$36,0)))),"X","")</f>
        <v/>
      </c>
      <c r="AR20" s="39" t="str">
        <f>IF(ISNUMBER(SEARCH($A20,INDEX(Index_CT!$D$2:$D$36,MATCH(AR$3,Index_CT!$A$2:$A$36,0)))),"X","")</f>
        <v/>
      </c>
      <c r="AS20" s="39" t="str">
        <f>IF(ISNUMBER(SEARCH($A20,INDEX(Index_CT!$D$2:$D$36,MATCH(AS$3,Index_CT!$A$2:$A$36,0)))),"X","")</f>
        <v/>
      </c>
      <c r="AT20" s="39" t="str">
        <f>IF(ISNUMBER(SEARCH($A20,INDEX(Index_CT!$D$2:$D$36,MATCH(AT$3,Index_CT!$A$2:$A$36,0)))),"X","")</f>
        <v/>
      </c>
      <c r="AU20" s="39" t="str">
        <f>IF(ISNUMBER(SEARCH($A20,INDEX(Index_CT!$D$2:$D$36,MATCH(AU$3,Index_CT!$A$2:$A$36,0)))),"X","")</f>
        <v/>
      </c>
      <c r="AV20" s="39" t="str">
        <f>IF(ISNUMBER(SEARCH($A20,INDEX(Index_CT!$D$2:$D$36,MATCH(AV$3,Index_CT!$A$2:$A$36,0)))),"X","")</f>
        <v/>
      </c>
      <c r="AW20" s="39" t="str">
        <f>IF(ISNUMBER(SEARCH($A20,INDEX(Index_CT!$D$2:$D$36,MATCH(AW$3,Index_CT!$A$2:$A$36,0)))),"X","")</f>
        <v/>
      </c>
      <c r="AX20" s="39" t="str">
        <f>IF(ISNUMBER(SEARCH($A20,INDEX(Index_CT!$D$2:$D$36,MATCH(AX$3,Index_CT!$A$2:$A$36,0)))),"X","")</f>
        <v/>
      </c>
      <c r="AY20" s="39" t="str">
        <f>IF(ISNUMBER(SEARCH($A20,INDEX(Index_CT!$D$2:$D$36,MATCH(AY$3,Index_CT!$A$2:$A$36,0)))),"X","")</f>
        <v/>
      </c>
      <c r="AZ20" s="39" t="str">
        <f>IF(ISNUMBER(SEARCH($A20,INDEX(Index_CT!$D$2:$D$36,MATCH(AZ$3,Index_CT!$A$2:$A$36,0)))),"X","")</f>
        <v/>
      </c>
      <c r="BA20" s="39" t="str">
        <f>IF(ISNUMBER(SEARCH($A20,INDEX(Index_CT!$D$2:$D$36,MATCH(BA$3,Index_CT!$A$2:$A$36,0)))),"X","")</f>
        <v/>
      </c>
      <c r="BB20" s="39" t="str">
        <f>IF(ISNUMBER(SEARCH($A20,INDEX(Index_CT!$D$2:$D$36,MATCH(BB$3,Index_CT!$A$2:$A$36,0)))),"X","")</f>
        <v/>
      </c>
      <c r="BC20" s="39" t="str">
        <f>IF(ISNUMBER(SEARCH($A20,INDEX(Index_CT!$D$2:$D$36,MATCH(BC$3,Index_CT!$A$2:$A$36,0)))),"X","")</f>
        <v/>
      </c>
      <c r="BD20" s="39" t="str">
        <f>IF(ISNUMBER(SEARCH($A20,INDEX(Index_CT!$D$2:$D$36,MATCH(BD$3,Index_CT!$A$2:$A$36,0)))),"X","")</f>
        <v/>
      </c>
      <c r="BE20" s="39" t="str">
        <f>IF(ISNUMBER(SEARCH($A20,INDEX(Index_CT!$D$2:$D$36,MATCH(BE$3,Index_CT!$A$2:$A$36,0)))),"X","")</f>
        <v/>
      </c>
      <c r="BF20" s="39" t="str">
        <f>IF(ISNUMBER(SEARCH($A20,INDEX(Index_CT!$D$2:$D$36,MATCH(BF$3,Index_CT!$A$2:$A$36,0)))),"X","")</f>
        <v/>
      </c>
      <c r="BG20" s="39" t="str">
        <f>IF(ISNUMBER(SEARCH($A20,INDEX(Index_CT!$D$2:$D$36,MATCH(BG$3,Index_CT!$A$2:$A$36,0)))),"X","")</f>
        <v/>
      </c>
      <c r="BH20" s="39" t="str">
        <f>IF(ISNUMBER(SEARCH($A20,INDEX(Index_CT!$D$2:$D$36,MATCH(BH$3,Index_CT!$A$2:$A$36,0)))),"X","")</f>
        <v/>
      </c>
      <c r="BI20" s="39" t="str">
        <f>IF(ISNUMBER(SEARCH($A20,INDEX(Index_CT!$D$2:$D$36,MATCH(BI$3,Index_CT!$A$2:$A$36,0)))),"X","")</f>
        <v/>
      </c>
      <c r="BJ20" s="39" t="str">
        <f>IF(ISNUMBER(SEARCH($A20,INDEX(Index_CT!$D$2:$D$36,MATCH(BJ$3,Index_CT!$A$2:$A$36,0)))),"X","")</f>
        <v/>
      </c>
      <c r="BK20" s="39" t="str">
        <f>IF(ISNUMBER(SEARCH($A20,INDEX(Index_CT!$D$2:$D$36,MATCH(BK$3,Index_CT!$A$2:$A$36,0)))),"X","")</f>
        <v/>
      </c>
      <c r="BL20" s="39" t="str">
        <f>IF(ISNUMBER(SEARCH($A20,INDEX(Index_CT!$D$2:$D$36,MATCH(BL$3,Index_CT!$A$2:$A$36,0)))),"X","")</f>
        <v/>
      </c>
      <c r="BM20" s="39" t="str">
        <f>IF(ISNUMBER(SEARCH($A20,INDEX(Index_CT!$D$2:$D$36,MATCH(BM$3,Index_CT!$A$2:$A$36,0)))),"X","")</f>
        <v/>
      </c>
      <c r="BN20" s="39" t="str">
        <f>IF(ISNUMBER(SEARCH($A20,INDEX(Index_CT!$D$2:$D$36,MATCH(BN$3,Index_CT!$A$2:$A$36,0)))),"X","")</f>
        <v/>
      </c>
      <c r="BO20" s="39" t="str">
        <f>IF(ISNUMBER(SEARCH($A20,INDEX(Index_CT!$D$2:$D$36,MATCH(BO$3,Index_CT!$A$2:$A$36,0)))),"X","")</f>
        <v/>
      </c>
      <c r="BP20" s="39" t="str">
        <f>IF(ISNUMBER(SEARCH($A20,INDEX(Index_CT!$D$2:$D$36,MATCH(BP$3,Index_CT!$A$2:$A$36,0)))),"X","")</f>
        <v/>
      </c>
      <c r="BQ20" s="39" t="str">
        <f>IF(ISNUMBER(SEARCH($A20,INDEX(Index_CT!$D$2:$D$36,MATCH(BQ$3,Index_CT!$A$2:$A$36,0)))),"X","")</f>
        <v/>
      </c>
      <c r="BR20" s="39" t="str">
        <f>IF(ISNUMBER(SEARCH($A20,INDEX(Index_CT!$D$2:$D$36,MATCH(BR$3,Index_CT!$A$2:$A$36,0)))),"X","")</f>
        <v/>
      </c>
    </row>
    <row r="21" spans="1:70" x14ac:dyDescent="0.25">
      <c r="A21" s="33" t="s">
        <v>376</v>
      </c>
      <c r="B21" s="34" t="s">
        <v>527</v>
      </c>
      <c r="C21" s="33" t="s">
        <v>53</v>
      </c>
      <c r="D21" s="33">
        <f t="shared" si="0"/>
        <v>3</v>
      </c>
      <c r="E21" s="39" t="str">
        <f>IF(ISNUMBER(SEARCH($A21,INDEX(Index_CT!$D$2:$D$36,MATCH(E$3,Index_CT!$A$2:$A$36,0)))),"X","")</f>
        <v/>
      </c>
      <c r="F21" s="39" t="str">
        <f>IF(ISNUMBER(SEARCH($A21,INDEX(Index_CT!$D$2:$D$36,MATCH(F$3,Index_CT!$A$2:$A$36,0)))),"X","")</f>
        <v/>
      </c>
      <c r="G21" s="39" t="str">
        <f>IF(ISNUMBER(SEARCH($A21,INDEX(Index_CT!$D$2:$D$36,MATCH(G$3,Index_CT!$A$2:$A$36,0)))),"X","")</f>
        <v/>
      </c>
      <c r="H21" s="39" t="str">
        <f>IF(ISNUMBER(SEARCH($A21,INDEX(Index_CT!$D$2:$D$36,MATCH(H$3,Index_CT!$A$2:$A$36,0)))),"X","")</f>
        <v/>
      </c>
      <c r="I21" s="39" t="str">
        <f>IF(ISNUMBER(SEARCH($A21,INDEX(Index_CT!$D$2:$D$36,MATCH(I$3,Index_CT!$A$2:$A$36,0)))),"X","")</f>
        <v/>
      </c>
      <c r="J21" s="39" t="str">
        <f>IF(ISNUMBER(SEARCH($A21,INDEX(Index_CT!$D$2:$D$36,MATCH(J$3,Index_CT!$A$2:$A$36,0)))),"X","")</f>
        <v/>
      </c>
      <c r="K21" s="39" t="str">
        <f>IF(ISNUMBER(SEARCH($A21,INDEX(Index_CT!$D$2:$D$36,MATCH(K$3,Index_CT!$A$2:$A$36,0)))),"X","")</f>
        <v/>
      </c>
      <c r="L21" s="39" t="str">
        <f>IF(ISNUMBER(SEARCH($A21,INDEX(Index_CT!$D$2:$D$36,MATCH(L$3,Index_CT!$A$2:$A$36,0)))),"X","")</f>
        <v/>
      </c>
      <c r="M21" s="39" t="str">
        <f>IF(ISNUMBER(SEARCH($A21,INDEX(Index_CT!$D$2:$D$36,MATCH(M$3,Index_CT!$A$2:$A$36,0)))),"X","")</f>
        <v/>
      </c>
      <c r="N21" s="39" t="str">
        <f>IF(ISNUMBER(SEARCH($A21,INDEX(Index_CT!$D$2:$D$36,MATCH(N$3,Index_CT!$A$2:$A$36,0)))),"X","")</f>
        <v/>
      </c>
      <c r="O21" s="39" t="str">
        <f>IF(ISNUMBER(SEARCH($A21,INDEX(Index_CT!$D$2:$D$36,MATCH(O$3,Index_CT!$A$2:$A$36,0)))),"X","")</f>
        <v/>
      </c>
      <c r="P21" s="39" t="str">
        <f>IF(ISNUMBER(SEARCH($A21,INDEX(Index_CT!$D$2:$D$36,MATCH(P$3,Index_CT!$A$2:$A$36,0)))),"X","")</f>
        <v/>
      </c>
      <c r="Q21" s="39" t="str">
        <f>IF(ISNUMBER(SEARCH($A21,INDEX(Index_CT!$D$2:$D$36,MATCH(Q$3,Index_CT!$A$2:$A$36,0)))),"X","")</f>
        <v/>
      </c>
      <c r="R21" s="39" t="str">
        <f>IF(ISNUMBER(SEARCH($A21,INDEX(Index_CT!$D$2:$D$36,MATCH(R$3,Index_CT!$A$2:$A$36,0)))),"X","")</f>
        <v/>
      </c>
      <c r="S21" s="39" t="str">
        <f>IF(ISNUMBER(SEARCH($A21,INDEX(Index_CT!$D$2:$D$36,MATCH(S$3,Index_CT!$A$2:$A$36,0)))),"X","")</f>
        <v/>
      </c>
      <c r="T21" s="39" t="str">
        <f>IF(ISNUMBER(SEARCH($A21,INDEX(Index_CT!$D$2:$D$36,MATCH(T$3,Index_CT!$A$2:$A$36,0)))),"X","")</f>
        <v/>
      </c>
      <c r="U21" s="39" t="str">
        <f>IF(ISNUMBER(SEARCH($A21,INDEX(Index_CT!$D$2:$D$36,MATCH(U$3,Index_CT!$A$2:$A$36,0)))),"X","")</f>
        <v/>
      </c>
      <c r="V21" s="39" t="str">
        <f>IF(ISNUMBER(SEARCH($A21,INDEX(Index_CT!$D$2:$D$36,MATCH(V$3,Index_CT!$A$2:$A$36,0)))),"X","")</f>
        <v/>
      </c>
      <c r="W21" s="39" t="str">
        <f>IF(ISNUMBER(SEARCH($A21,INDEX(Index_CT!$D$2:$D$36,MATCH(W$3,Index_CT!$A$2:$A$36,0)))),"X","")</f>
        <v/>
      </c>
      <c r="X21" s="39" t="str">
        <f>IF(ISNUMBER(SEARCH($A21,INDEX(Index_CT!$D$2:$D$36,MATCH(X$3,Index_CT!$A$2:$A$36,0)))),"X","")</f>
        <v/>
      </c>
      <c r="Y21" s="39" t="str">
        <f>IF(ISNUMBER(SEARCH($A21,INDEX(Index_CT!$D$2:$D$36,MATCH(Y$3,Index_CT!$A$2:$A$36,0)))),"X","")</f>
        <v/>
      </c>
      <c r="Z21" s="39" t="str">
        <f>IF(ISNUMBER(SEARCH($A21,INDEX(Index_CT!$D$2:$D$36,MATCH(Z$3,Index_CT!$A$2:$A$36,0)))),"X","")</f>
        <v/>
      </c>
      <c r="AA21" s="39" t="str">
        <f>IF(ISNUMBER(SEARCH($A21,INDEX(Index_CT!$D$2:$D$36,MATCH(AA$3,Index_CT!$A$2:$A$36,0)))),"X","")</f>
        <v/>
      </c>
      <c r="AB21" s="39" t="str">
        <f>IF(ISNUMBER(SEARCH($A21,INDEX(Index_CT!$D$2:$D$36,MATCH(AB$3,Index_CT!$A$2:$A$36,0)))),"X","")</f>
        <v/>
      </c>
      <c r="AC21" s="39" t="str">
        <f>IF(ISNUMBER(SEARCH($A21,INDEX(Index_CT!$D$2:$D$36,MATCH(AC$3,Index_CT!$A$2:$A$36,0)))),"X","")</f>
        <v/>
      </c>
      <c r="AD21" s="39" t="str">
        <f>IF(ISNUMBER(SEARCH($A21,INDEX(Index_CT!$D$2:$D$36,MATCH(AD$3,Index_CT!$A$2:$A$36,0)))),"X","")</f>
        <v/>
      </c>
      <c r="AE21" s="39" t="str">
        <f>IF(ISNUMBER(SEARCH($A21,INDEX(Index_CT!$D$2:$D$36,MATCH(AE$3,Index_CT!$A$2:$A$36,0)))),"X","")</f>
        <v/>
      </c>
      <c r="AF21" s="39" t="str">
        <f>IF(ISNUMBER(SEARCH($A21,INDEX(Index_CT!$D$2:$D$36,MATCH(AF$3,Index_CT!$A$2:$A$36,0)))),"X","")</f>
        <v/>
      </c>
      <c r="AG21" s="39" t="str">
        <f>IF(ISNUMBER(SEARCH($A21,INDEX(Index_CT!$D$2:$D$36,MATCH(AG$3,Index_CT!$A$2:$A$36,0)))),"X","")</f>
        <v/>
      </c>
      <c r="AH21" s="39" t="str">
        <f>IF(ISNUMBER(SEARCH($A21,INDEX(Index_CT!$D$2:$D$36,MATCH(AH$3,Index_CT!$A$2:$A$36,0)))),"X","")</f>
        <v/>
      </c>
      <c r="AI21" s="39" t="str">
        <f>IF(ISNUMBER(SEARCH($A21,INDEX(Index_CT!$D$2:$D$36,MATCH(AI$3,Index_CT!$A$2:$A$36,0)))),"X","")</f>
        <v>X</v>
      </c>
      <c r="AJ21" s="39" t="str">
        <f>IF(ISNUMBER(SEARCH($A21,INDEX(Index_CT!$D$2:$D$36,MATCH(AJ$3,Index_CT!$A$2:$A$36,0)))),"X","")</f>
        <v>X</v>
      </c>
      <c r="AK21" s="39" t="str">
        <f>IF(ISNUMBER(SEARCH($A21,INDEX(Index_CT!$D$2:$D$36,MATCH(AK$3,Index_CT!$A$2:$A$36,0)))),"X","")</f>
        <v>X</v>
      </c>
      <c r="AL21" s="39" t="str">
        <f>IF(ISNUMBER(SEARCH($A21,INDEX(Index_CT!$D$2:$D$36,MATCH(AL$3,Index_CT!$A$2:$A$36,0)))),"X","")</f>
        <v/>
      </c>
      <c r="AM21" s="39" t="str">
        <f>IF(ISNUMBER(SEARCH($A21,INDEX(Index_CT!$D$2:$D$36,MATCH(AM$3,Index_CT!$A$2:$A$36,0)))),"X","")</f>
        <v/>
      </c>
      <c r="AN21" s="39" t="str">
        <f>IF(ISNUMBER(SEARCH($A21,INDEX(Index_CT!$D$2:$D$36,MATCH(AN$3,Index_CT!$A$2:$A$36,0)))),"X","")</f>
        <v/>
      </c>
      <c r="AO21" s="39" t="str">
        <f>IF(ISNUMBER(SEARCH($A21,INDEX(Index_CT!$D$2:$D$36,MATCH(AO$3,Index_CT!$A$2:$A$36,0)))),"X","")</f>
        <v/>
      </c>
      <c r="AP21" s="39" t="str">
        <f>IF(ISNUMBER(SEARCH($A21,INDEX(Index_CT!$D$2:$D$36,MATCH(AP$3,Index_CT!$A$2:$A$36,0)))),"X","")</f>
        <v/>
      </c>
      <c r="AQ21" s="39" t="str">
        <f>IF(ISNUMBER(SEARCH($A21,INDEX(Index_CT!$D$2:$D$36,MATCH(AQ$3,Index_CT!$A$2:$A$36,0)))),"X","")</f>
        <v/>
      </c>
      <c r="AR21" s="39" t="str">
        <f>IF(ISNUMBER(SEARCH($A21,INDEX(Index_CT!$D$2:$D$36,MATCH(AR$3,Index_CT!$A$2:$A$36,0)))),"X","")</f>
        <v/>
      </c>
      <c r="AS21" s="39" t="str">
        <f>IF(ISNUMBER(SEARCH($A21,INDEX(Index_CT!$D$2:$D$36,MATCH(AS$3,Index_CT!$A$2:$A$36,0)))),"X","")</f>
        <v/>
      </c>
      <c r="AT21" s="39" t="str">
        <f>IF(ISNUMBER(SEARCH($A21,INDEX(Index_CT!$D$2:$D$36,MATCH(AT$3,Index_CT!$A$2:$A$36,0)))),"X","")</f>
        <v/>
      </c>
      <c r="AU21" s="39" t="str">
        <f>IF(ISNUMBER(SEARCH($A21,INDEX(Index_CT!$D$2:$D$36,MATCH(AU$3,Index_CT!$A$2:$A$36,0)))),"X","")</f>
        <v/>
      </c>
      <c r="AV21" s="39" t="str">
        <f>IF(ISNUMBER(SEARCH($A21,INDEX(Index_CT!$D$2:$D$36,MATCH(AV$3,Index_CT!$A$2:$A$36,0)))),"X","")</f>
        <v/>
      </c>
      <c r="AW21" s="39" t="str">
        <f>IF(ISNUMBER(SEARCH($A21,INDEX(Index_CT!$D$2:$D$36,MATCH(AW$3,Index_CT!$A$2:$A$36,0)))),"X","")</f>
        <v/>
      </c>
      <c r="AX21" s="39" t="str">
        <f>IF(ISNUMBER(SEARCH($A21,INDEX(Index_CT!$D$2:$D$36,MATCH(AX$3,Index_CT!$A$2:$A$36,0)))),"X","")</f>
        <v/>
      </c>
      <c r="AY21" s="39" t="str">
        <f>IF(ISNUMBER(SEARCH($A21,INDEX(Index_CT!$D$2:$D$36,MATCH(AY$3,Index_CT!$A$2:$A$36,0)))),"X","")</f>
        <v/>
      </c>
      <c r="AZ21" s="39" t="str">
        <f>IF(ISNUMBER(SEARCH($A21,INDEX(Index_CT!$D$2:$D$36,MATCH(AZ$3,Index_CT!$A$2:$A$36,0)))),"X","")</f>
        <v/>
      </c>
      <c r="BA21" s="39" t="str">
        <f>IF(ISNUMBER(SEARCH($A21,INDEX(Index_CT!$D$2:$D$36,MATCH(BA$3,Index_CT!$A$2:$A$36,0)))),"X","")</f>
        <v/>
      </c>
      <c r="BB21" s="39" t="str">
        <f>IF(ISNUMBER(SEARCH($A21,INDEX(Index_CT!$D$2:$D$36,MATCH(BB$3,Index_CT!$A$2:$A$36,0)))),"X","")</f>
        <v/>
      </c>
      <c r="BC21" s="39" t="str">
        <f>IF(ISNUMBER(SEARCH($A21,INDEX(Index_CT!$D$2:$D$36,MATCH(BC$3,Index_CT!$A$2:$A$36,0)))),"X","")</f>
        <v/>
      </c>
      <c r="BD21" s="39" t="str">
        <f>IF(ISNUMBER(SEARCH($A21,INDEX(Index_CT!$D$2:$D$36,MATCH(BD$3,Index_CT!$A$2:$A$36,0)))),"X","")</f>
        <v/>
      </c>
      <c r="BE21" s="39" t="str">
        <f>IF(ISNUMBER(SEARCH($A21,INDEX(Index_CT!$D$2:$D$36,MATCH(BE$3,Index_CT!$A$2:$A$36,0)))),"X","")</f>
        <v/>
      </c>
      <c r="BF21" s="39" t="str">
        <f>IF(ISNUMBER(SEARCH($A21,INDEX(Index_CT!$D$2:$D$36,MATCH(BF$3,Index_CT!$A$2:$A$36,0)))),"X","")</f>
        <v/>
      </c>
      <c r="BG21" s="39" t="str">
        <f>IF(ISNUMBER(SEARCH($A21,INDEX(Index_CT!$D$2:$D$36,MATCH(BG$3,Index_CT!$A$2:$A$36,0)))),"X","")</f>
        <v/>
      </c>
      <c r="BH21" s="39" t="str">
        <f>IF(ISNUMBER(SEARCH($A21,INDEX(Index_CT!$D$2:$D$36,MATCH(BH$3,Index_CT!$A$2:$A$36,0)))),"X","")</f>
        <v/>
      </c>
      <c r="BI21" s="39" t="str">
        <f>IF(ISNUMBER(SEARCH($A21,INDEX(Index_CT!$D$2:$D$36,MATCH(BI$3,Index_CT!$A$2:$A$36,0)))),"X","")</f>
        <v/>
      </c>
      <c r="BJ21" s="39" t="str">
        <f>IF(ISNUMBER(SEARCH($A21,INDEX(Index_CT!$D$2:$D$36,MATCH(BJ$3,Index_CT!$A$2:$A$36,0)))),"X","")</f>
        <v/>
      </c>
      <c r="BK21" s="39" t="str">
        <f>IF(ISNUMBER(SEARCH($A21,INDEX(Index_CT!$D$2:$D$36,MATCH(BK$3,Index_CT!$A$2:$A$36,0)))),"X","")</f>
        <v/>
      </c>
      <c r="BL21" s="39" t="str">
        <f>IF(ISNUMBER(SEARCH($A21,INDEX(Index_CT!$D$2:$D$36,MATCH(BL$3,Index_CT!$A$2:$A$36,0)))),"X","")</f>
        <v/>
      </c>
      <c r="BM21" s="39" t="str">
        <f>IF(ISNUMBER(SEARCH($A21,INDEX(Index_CT!$D$2:$D$36,MATCH(BM$3,Index_CT!$A$2:$A$36,0)))),"X","")</f>
        <v/>
      </c>
      <c r="BN21" s="39" t="str">
        <f>IF(ISNUMBER(SEARCH($A21,INDEX(Index_CT!$D$2:$D$36,MATCH(BN$3,Index_CT!$A$2:$A$36,0)))),"X","")</f>
        <v/>
      </c>
      <c r="BO21" s="39" t="str">
        <f>IF(ISNUMBER(SEARCH($A21,INDEX(Index_CT!$D$2:$D$36,MATCH(BO$3,Index_CT!$A$2:$A$36,0)))),"X","")</f>
        <v/>
      </c>
      <c r="BP21" s="39" t="str">
        <f>IF(ISNUMBER(SEARCH($A21,INDEX(Index_CT!$D$2:$D$36,MATCH(BP$3,Index_CT!$A$2:$A$36,0)))),"X","")</f>
        <v/>
      </c>
      <c r="BQ21" s="39" t="str">
        <f>IF(ISNUMBER(SEARCH($A21,INDEX(Index_CT!$D$2:$D$36,MATCH(BQ$3,Index_CT!$A$2:$A$36,0)))),"X","")</f>
        <v/>
      </c>
      <c r="BR21" s="39" t="str">
        <f>IF(ISNUMBER(SEARCH($A21,INDEX(Index_CT!$D$2:$D$36,MATCH(BR$3,Index_CT!$A$2:$A$36,0)))),"X","")</f>
        <v/>
      </c>
    </row>
    <row r="22" spans="1:70" x14ac:dyDescent="0.25">
      <c r="A22" s="33" t="s">
        <v>410</v>
      </c>
      <c r="B22" s="34" t="s">
        <v>530</v>
      </c>
      <c r="C22" s="33" t="s">
        <v>53</v>
      </c>
      <c r="D22" s="33">
        <f t="shared" si="0"/>
        <v>2</v>
      </c>
      <c r="E22" s="39" t="str">
        <f>IF(ISNUMBER(SEARCH($A22,INDEX(Index_CT!$D$2:$D$36,MATCH(E$3,Index_CT!$A$2:$A$36,0)))),"X","")</f>
        <v/>
      </c>
      <c r="F22" s="39" t="str">
        <f>IF(ISNUMBER(SEARCH($A22,INDEX(Index_CT!$D$2:$D$36,MATCH(F$3,Index_CT!$A$2:$A$36,0)))),"X","")</f>
        <v/>
      </c>
      <c r="G22" s="39" t="str">
        <f>IF(ISNUMBER(SEARCH($A22,INDEX(Index_CT!$D$2:$D$36,MATCH(G$3,Index_CT!$A$2:$A$36,0)))),"X","")</f>
        <v/>
      </c>
      <c r="H22" s="39" t="str">
        <f>IF(ISNUMBER(SEARCH($A22,INDEX(Index_CT!$D$2:$D$36,MATCH(H$3,Index_CT!$A$2:$A$36,0)))),"X","")</f>
        <v/>
      </c>
      <c r="I22" s="39" t="str">
        <f>IF(ISNUMBER(SEARCH($A22,INDEX(Index_CT!$D$2:$D$36,MATCH(I$3,Index_CT!$A$2:$A$36,0)))),"X","")</f>
        <v/>
      </c>
      <c r="J22" s="39" t="str">
        <f>IF(ISNUMBER(SEARCH($A22,INDEX(Index_CT!$D$2:$D$36,MATCH(J$3,Index_CT!$A$2:$A$36,0)))),"X","")</f>
        <v/>
      </c>
      <c r="K22" s="39" t="str">
        <f>IF(ISNUMBER(SEARCH($A22,INDEX(Index_CT!$D$2:$D$36,MATCH(K$3,Index_CT!$A$2:$A$36,0)))),"X","")</f>
        <v/>
      </c>
      <c r="L22" s="39" t="str">
        <f>IF(ISNUMBER(SEARCH($A22,INDEX(Index_CT!$D$2:$D$36,MATCH(L$3,Index_CT!$A$2:$A$36,0)))),"X","")</f>
        <v/>
      </c>
      <c r="M22" s="39" t="str">
        <f>IF(ISNUMBER(SEARCH($A22,INDEX(Index_CT!$D$2:$D$36,MATCH(M$3,Index_CT!$A$2:$A$36,0)))),"X","")</f>
        <v/>
      </c>
      <c r="N22" s="39" t="str">
        <f>IF(ISNUMBER(SEARCH($A22,INDEX(Index_CT!$D$2:$D$36,MATCH(N$3,Index_CT!$A$2:$A$36,0)))),"X","")</f>
        <v/>
      </c>
      <c r="O22" s="39" t="str">
        <f>IF(ISNUMBER(SEARCH($A22,INDEX(Index_CT!$D$2:$D$36,MATCH(O$3,Index_CT!$A$2:$A$36,0)))),"X","")</f>
        <v/>
      </c>
      <c r="P22" s="39" t="str">
        <f>IF(ISNUMBER(SEARCH($A22,INDEX(Index_CT!$D$2:$D$36,MATCH(P$3,Index_CT!$A$2:$A$36,0)))),"X","")</f>
        <v/>
      </c>
      <c r="Q22" s="39" t="str">
        <f>IF(ISNUMBER(SEARCH($A22,INDEX(Index_CT!$D$2:$D$36,MATCH(Q$3,Index_CT!$A$2:$A$36,0)))),"X","")</f>
        <v/>
      </c>
      <c r="R22" s="39" t="str">
        <f>IF(ISNUMBER(SEARCH($A22,INDEX(Index_CT!$D$2:$D$36,MATCH(R$3,Index_CT!$A$2:$A$36,0)))),"X","")</f>
        <v/>
      </c>
      <c r="S22" s="39" t="str">
        <f>IF(ISNUMBER(SEARCH($A22,INDEX(Index_CT!$D$2:$D$36,MATCH(S$3,Index_CT!$A$2:$A$36,0)))),"X","")</f>
        <v/>
      </c>
      <c r="T22" s="39" t="str">
        <f>IF(ISNUMBER(SEARCH($A22,INDEX(Index_CT!$D$2:$D$36,MATCH(T$3,Index_CT!$A$2:$A$36,0)))),"X","")</f>
        <v/>
      </c>
      <c r="U22" s="39" t="str">
        <f>IF(ISNUMBER(SEARCH($A22,INDEX(Index_CT!$D$2:$D$36,MATCH(U$3,Index_CT!$A$2:$A$36,0)))),"X","")</f>
        <v/>
      </c>
      <c r="V22" s="39" t="str">
        <f>IF(ISNUMBER(SEARCH($A22,INDEX(Index_CT!$D$2:$D$36,MATCH(V$3,Index_CT!$A$2:$A$36,0)))),"X","")</f>
        <v/>
      </c>
      <c r="W22" s="39" t="str">
        <f>IF(ISNUMBER(SEARCH($A22,INDEX(Index_CT!$D$2:$D$36,MATCH(W$3,Index_CT!$A$2:$A$36,0)))),"X","")</f>
        <v/>
      </c>
      <c r="X22" s="39" t="str">
        <f>IF(ISNUMBER(SEARCH($A22,INDEX(Index_CT!$D$2:$D$36,MATCH(X$3,Index_CT!$A$2:$A$36,0)))),"X","")</f>
        <v/>
      </c>
      <c r="Y22" s="39" t="str">
        <f>IF(ISNUMBER(SEARCH($A22,INDEX(Index_CT!$D$2:$D$36,MATCH(Y$3,Index_CT!$A$2:$A$36,0)))),"X","")</f>
        <v/>
      </c>
      <c r="Z22" s="39" t="str">
        <f>IF(ISNUMBER(SEARCH($A22,INDEX(Index_CT!$D$2:$D$36,MATCH(Z$3,Index_CT!$A$2:$A$36,0)))),"X","")</f>
        <v/>
      </c>
      <c r="AA22" s="39" t="str">
        <f>IF(ISNUMBER(SEARCH($A22,INDEX(Index_CT!$D$2:$D$36,MATCH(AA$3,Index_CT!$A$2:$A$36,0)))),"X","")</f>
        <v/>
      </c>
      <c r="AB22" s="39" t="str">
        <f>IF(ISNUMBER(SEARCH($A22,INDEX(Index_CT!$D$2:$D$36,MATCH(AB$3,Index_CT!$A$2:$A$36,0)))),"X","")</f>
        <v/>
      </c>
      <c r="AC22" s="39" t="str">
        <f>IF(ISNUMBER(SEARCH($A22,INDEX(Index_CT!$D$2:$D$36,MATCH(AC$3,Index_CT!$A$2:$A$36,0)))),"X","")</f>
        <v/>
      </c>
      <c r="AD22" s="39" t="str">
        <f>IF(ISNUMBER(SEARCH($A22,INDEX(Index_CT!$D$2:$D$36,MATCH(AD$3,Index_CT!$A$2:$A$36,0)))),"X","")</f>
        <v/>
      </c>
      <c r="AE22" s="39" t="str">
        <f>IF(ISNUMBER(SEARCH($A22,INDEX(Index_CT!$D$2:$D$36,MATCH(AE$3,Index_CT!$A$2:$A$36,0)))),"X","")</f>
        <v/>
      </c>
      <c r="AF22" s="39" t="str">
        <f>IF(ISNUMBER(SEARCH($A22,INDEX(Index_CT!$D$2:$D$36,MATCH(AF$3,Index_CT!$A$2:$A$36,0)))),"X","")</f>
        <v/>
      </c>
      <c r="AG22" s="39" t="str">
        <f>IF(ISNUMBER(SEARCH($A22,INDEX(Index_CT!$D$2:$D$36,MATCH(AG$3,Index_CT!$A$2:$A$36,0)))),"X","")</f>
        <v/>
      </c>
      <c r="AH22" s="39" t="str">
        <f>IF(ISNUMBER(SEARCH($A22,INDEX(Index_CT!$D$2:$D$36,MATCH(AH$3,Index_CT!$A$2:$A$36,0)))),"X","")</f>
        <v/>
      </c>
      <c r="AI22" s="39" t="str">
        <f>IF(ISNUMBER(SEARCH($A22,INDEX(Index_CT!$D$2:$D$36,MATCH(AI$3,Index_CT!$A$2:$A$36,0)))),"X","")</f>
        <v/>
      </c>
      <c r="AJ22" s="39" t="str">
        <f>IF(ISNUMBER(SEARCH($A22,INDEX(Index_CT!$D$2:$D$36,MATCH(AJ$3,Index_CT!$A$2:$A$36,0)))),"X","")</f>
        <v/>
      </c>
      <c r="AK22" s="39" t="str">
        <f>IF(ISNUMBER(SEARCH($A22,INDEX(Index_CT!$D$2:$D$36,MATCH(AK$3,Index_CT!$A$2:$A$36,0)))),"X","")</f>
        <v/>
      </c>
      <c r="AL22" s="39" t="str">
        <f>IF(ISNUMBER(SEARCH($A22,INDEX(Index_CT!$D$2:$D$36,MATCH(AL$3,Index_CT!$A$2:$A$36,0)))),"X","")</f>
        <v>X</v>
      </c>
      <c r="AM22" s="39" t="str">
        <f>IF(ISNUMBER(SEARCH($A22,INDEX(Index_CT!$D$2:$D$36,MATCH(AM$3,Index_CT!$A$2:$A$36,0)))),"X","")</f>
        <v>X</v>
      </c>
      <c r="AN22" s="39" t="str">
        <f>IF(ISNUMBER(SEARCH($A22,INDEX(Index_CT!$D$2:$D$36,MATCH(AN$3,Index_CT!$A$2:$A$36,0)))),"X","")</f>
        <v/>
      </c>
      <c r="AO22" s="39" t="str">
        <f>IF(ISNUMBER(SEARCH($A22,INDEX(Index_CT!$D$2:$D$36,MATCH(AO$3,Index_CT!$A$2:$A$36,0)))),"X","")</f>
        <v/>
      </c>
      <c r="AP22" s="39" t="str">
        <f>IF(ISNUMBER(SEARCH($A22,INDEX(Index_CT!$D$2:$D$36,MATCH(AP$3,Index_CT!$A$2:$A$36,0)))),"X","")</f>
        <v/>
      </c>
      <c r="AQ22" s="39" t="str">
        <f>IF(ISNUMBER(SEARCH($A22,INDEX(Index_CT!$D$2:$D$36,MATCH(AQ$3,Index_CT!$A$2:$A$36,0)))),"X","")</f>
        <v/>
      </c>
      <c r="AR22" s="39" t="str">
        <f>IF(ISNUMBER(SEARCH($A22,INDEX(Index_CT!$D$2:$D$36,MATCH(AR$3,Index_CT!$A$2:$A$36,0)))),"X","")</f>
        <v/>
      </c>
      <c r="AS22" s="39" t="str">
        <f>IF(ISNUMBER(SEARCH($A22,INDEX(Index_CT!$D$2:$D$36,MATCH(AS$3,Index_CT!$A$2:$A$36,0)))),"X","")</f>
        <v/>
      </c>
      <c r="AT22" s="39" t="str">
        <f>IF(ISNUMBER(SEARCH($A22,INDEX(Index_CT!$D$2:$D$36,MATCH(AT$3,Index_CT!$A$2:$A$36,0)))),"X","")</f>
        <v/>
      </c>
      <c r="AU22" s="39" t="str">
        <f>IF(ISNUMBER(SEARCH($A22,INDEX(Index_CT!$D$2:$D$36,MATCH(AU$3,Index_CT!$A$2:$A$36,0)))),"X","")</f>
        <v/>
      </c>
      <c r="AV22" s="39" t="str">
        <f>IF(ISNUMBER(SEARCH($A22,INDEX(Index_CT!$D$2:$D$36,MATCH(AV$3,Index_CT!$A$2:$A$36,0)))),"X","")</f>
        <v/>
      </c>
      <c r="AW22" s="39" t="str">
        <f>IF(ISNUMBER(SEARCH($A22,INDEX(Index_CT!$D$2:$D$36,MATCH(AW$3,Index_CT!$A$2:$A$36,0)))),"X","")</f>
        <v/>
      </c>
      <c r="AX22" s="39" t="str">
        <f>IF(ISNUMBER(SEARCH($A22,INDEX(Index_CT!$D$2:$D$36,MATCH(AX$3,Index_CT!$A$2:$A$36,0)))),"X","")</f>
        <v/>
      </c>
      <c r="AY22" s="39" t="str">
        <f>IF(ISNUMBER(SEARCH($A22,INDEX(Index_CT!$D$2:$D$36,MATCH(AY$3,Index_CT!$A$2:$A$36,0)))),"X","")</f>
        <v/>
      </c>
      <c r="AZ22" s="39" t="str">
        <f>IF(ISNUMBER(SEARCH($A22,INDEX(Index_CT!$D$2:$D$36,MATCH(AZ$3,Index_CT!$A$2:$A$36,0)))),"X","")</f>
        <v/>
      </c>
      <c r="BA22" s="39" t="str">
        <f>IF(ISNUMBER(SEARCH($A22,INDEX(Index_CT!$D$2:$D$36,MATCH(BA$3,Index_CT!$A$2:$A$36,0)))),"X","")</f>
        <v/>
      </c>
      <c r="BB22" s="39" t="str">
        <f>IF(ISNUMBER(SEARCH($A22,INDEX(Index_CT!$D$2:$D$36,MATCH(BB$3,Index_CT!$A$2:$A$36,0)))),"X","")</f>
        <v/>
      </c>
      <c r="BC22" s="39" t="str">
        <f>IF(ISNUMBER(SEARCH($A22,INDEX(Index_CT!$D$2:$D$36,MATCH(BC$3,Index_CT!$A$2:$A$36,0)))),"X","")</f>
        <v/>
      </c>
      <c r="BD22" s="39" t="str">
        <f>IF(ISNUMBER(SEARCH($A22,INDEX(Index_CT!$D$2:$D$36,MATCH(BD$3,Index_CT!$A$2:$A$36,0)))),"X","")</f>
        <v/>
      </c>
      <c r="BE22" s="39" t="str">
        <f>IF(ISNUMBER(SEARCH($A22,INDEX(Index_CT!$D$2:$D$36,MATCH(BE$3,Index_CT!$A$2:$A$36,0)))),"X","")</f>
        <v/>
      </c>
      <c r="BF22" s="39" t="str">
        <f>IF(ISNUMBER(SEARCH($A22,INDEX(Index_CT!$D$2:$D$36,MATCH(BF$3,Index_CT!$A$2:$A$36,0)))),"X","")</f>
        <v/>
      </c>
      <c r="BG22" s="39" t="str">
        <f>IF(ISNUMBER(SEARCH($A22,INDEX(Index_CT!$D$2:$D$36,MATCH(BG$3,Index_CT!$A$2:$A$36,0)))),"X","")</f>
        <v/>
      </c>
      <c r="BH22" s="39" t="str">
        <f>IF(ISNUMBER(SEARCH($A22,INDEX(Index_CT!$D$2:$D$36,MATCH(BH$3,Index_CT!$A$2:$A$36,0)))),"X","")</f>
        <v/>
      </c>
      <c r="BI22" s="39" t="str">
        <f>IF(ISNUMBER(SEARCH($A22,INDEX(Index_CT!$D$2:$D$36,MATCH(BI$3,Index_CT!$A$2:$A$36,0)))),"X","")</f>
        <v/>
      </c>
      <c r="BJ22" s="39" t="str">
        <f>IF(ISNUMBER(SEARCH($A22,INDEX(Index_CT!$D$2:$D$36,MATCH(BJ$3,Index_CT!$A$2:$A$36,0)))),"X","")</f>
        <v/>
      </c>
      <c r="BK22" s="39" t="str">
        <f>IF(ISNUMBER(SEARCH($A22,INDEX(Index_CT!$D$2:$D$36,MATCH(BK$3,Index_CT!$A$2:$A$36,0)))),"X","")</f>
        <v/>
      </c>
      <c r="BL22" s="39" t="str">
        <f>IF(ISNUMBER(SEARCH($A22,INDEX(Index_CT!$D$2:$D$36,MATCH(BL$3,Index_CT!$A$2:$A$36,0)))),"X","")</f>
        <v/>
      </c>
      <c r="BM22" s="39" t="str">
        <f>IF(ISNUMBER(SEARCH($A22,INDEX(Index_CT!$D$2:$D$36,MATCH(BM$3,Index_CT!$A$2:$A$36,0)))),"X","")</f>
        <v/>
      </c>
      <c r="BN22" s="39" t="str">
        <f>IF(ISNUMBER(SEARCH($A22,INDEX(Index_CT!$D$2:$D$36,MATCH(BN$3,Index_CT!$A$2:$A$36,0)))),"X","")</f>
        <v/>
      </c>
      <c r="BO22" s="39" t="str">
        <f>IF(ISNUMBER(SEARCH($A22,INDEX(Index_CT!$D$2:$D$36,MATCH(BO$3,Index_CT!$A$2:$A$36,0)))),"X","")</f>
        <v/>
      </c>
      <c r="BP22" s="39" t="str">
        <f>IF(ISNUMBER(SEARCH($A22,INDEX(Index_CT!$D$2:$D$36,MATCH(BP$3,Index_CT!$A$2:$A$36,0)))),"X","")</f>
        <v/>
      </c>
      <c r="BQ22" s="39" t="str">
        <f>IF(ISNUMBER(SEARCH($A22,INDEX(Index_CT!$D$2:$D$36,MATCH(BQ$3,Index_CT!$A$2:$A$36,0)))),"X","")</f>
        <v/>
      </c>
      <c r="BR22" s="39" t="str">
        <f>IF(ISNUMBER(SEARCH($A22,INDEX(Index_CT!$D$2:$D$36,MATCH(BR$3,Index_CT!$A$2:$A$36,0)))),"X","")</f>
        <v/>
      </c>
    </row>
    <row r="23" spans="1:70" x14ac:dyDescent="0.25">
      <c r="A23" s="33" t="s">
        <v>421</v>
      </c>
      <c r="B23" s="34" t="s">
        <v>534</v>
      </c>
      <c r="C23" s="33" t="s">
        <v>53</v>
      </c>
      <c r="D23" s="33">
        <f t="shared" si="0"/>
        <v>0</v>
      </c>
      <c r="E23" s="39" t="str">
        <f>IF(ISNUMBER(SEARCH($A23,INDEX(Index_CT!$D$2:$D$36,MATCH(E$3,Index_CT!$A$2:$A$36,0)))),"X","")</f>
        <v/>
      </c>
      <c r="F23" s="39" t="str">
        <f>IF(ISNUMBER(SEARCH($A23,INDEX(Index_CT!$D$2:$D$36,MATCH(F$3,Index_CT!$A$2:$A$36,0)))),"X","")</f>
        <v/>
      </c>
      <c r="G23" s="39" t="str">
        <f>IF(ISNUMBER(SEARCH($A23,INDEX(Index_CT!$D$2:$D$36,MATCH(G$3,Index_CT!$A$2:$A$36,0)))),"X","")</f>
        <v/>
      </c>
      <c r="H23" s="39" t="str">
        <f>IF(ISNUMBER(SEARCH($A23,INDEX(Index_CT!$D$2:$D$36,MATCH(H$3,Index_CT!$A$2:$A$36,0)))),"X","")</f>
        <v/>
      </c>
      <c r="I23" s="39" t="str">
        <f>IF(ISNUMBER(SEARCH($A23,INDEX(Index_CT!$D$2:$D$36,MATCH(I$3,Index_CT!$A$2:$A$36,0)))),"X","")</f>
        <v/>
      </c>
      <c r="J23" s="39" t="str">
        <f>IF(ISNUMBER(SEARCH($A23,INDEX(Index_CT!$D$2:$D$36,MATCH(J$3,Index_CT!$A$2:$A$36,0)))),"X","")</f>
        <v/>
      </c>
      <c r="K23" s="39" t="str">
        <f>IF(ISNUMBER(SEARCH($A23,INDEX(Index_CT!$D$2:$D$36,MATCH(K$3,Index_CT!$A$2:$A$36,0)))),"X","")</f>
        <v/>
      </c>
      <c r="L23" s="39" t="str">
        <f>IF(ISNUMBER(SEARCH($A23,INDEX(Index_CT!$D$2:$D$36,MATCH(L$3,Index_CT!$A$2:$A$36,0)))),"X","")</f>
        <v/>
      </c>
      <c r="M23" s="39" t="str">
        <f>IF(ISNUMBER(SEARCH($A23,INDEX(Index_CT!$D$2:$D$36,MATCH(M$3,Index_CT!$A$2:$A$36,0)))),"X","")</f>
        <v/>
      </c>
      <c r="N23" s="39" t="str">
        <f>IF(ISNUMBER(SEARCH($A23,INDEX(Index_CT!$D$2:$D$36,MATCH(N$3,Index_CT!$A$2:$A$36,0)))),"X","")</f>
        <v/>
      </c>
      <c r="O23" s="39" t="str">
        <f>IF(ISNUMBER(SEARCH($A23,INDEX(Index_CT!$D$2:$D$36,MATCH(O$3,Index_CT!$A$2:$A$36,0)))),"X","")</f>
        <v/>
      </c>
      <c r="P23" s="39" t="str">
        <f>IF(ISNUMBER(SEARCH($A23,INDEX(Index_CT!$D$2:$D$36,MATCH(P$3,Index_CT!$A$2:$A$36,0)))),"X","")</f>
        <v/>
      </c>
      <c r="Q23" s="39" t="str">
        <f>IF(ISNUMBER(SEARCH($A23,INDEX(Index_CT!$D$2:$D$36,MATCH(Q$3,Index_CT!$A$2:$A$36,0)))),"X","")</f>
        <v/>
      </c>
      <c r="R23" s="39" t="str">
        <f>IF(ISNUMBER(SEARCH($A23,INDEX(Index_CT!$D$2:$D$36,MATCH(R$3,Index_CT!$A$2:$A$36,0)))),"X","")</f>
        <v/>
      </c>
      <c r="S23" s="39" t="str">
        <f>IF(ISNUMBER(SEARCH($A23,INDEX(Index_CT!$D$2:$D$36,MATCH(S$3,Index_CT!$A$2:$A$36,0)))),"X","")</f>
        <v/>
      </c>
      <c r="T23" s="39" t="str">
        <f>IF(ISNUMBER(SEARCH($A23,INDEX(Index_CT!$D$2:$D$36,MATCH(T$3,Index_CT!$A$2:$A$36,0)))),"X","")</f>
        <v/>
      </c>
      <c r="U23" s="39" t="str">
        <f>IF(ISNUMBER(SEARCH($A23,INDEX(Index_CT!$D$2:$D$36,MATCH(U$3,Index_CT!$A$2:$A$36,0)))),"X","")</f>
        <v/>
      </c>
      <c r="V23" s="39" t="str">
        <f>IF(ISNUMBER(SEARCH($A23,INDEX(Index_CT!$D$2:$D$36,MATCH(V$3,Index_CT!$A$2:$A$36,0)))),"X","")</f>
        <v/>
      </c>
      <c r="W23" s="39" t="str">
        <f>IF(ISNUMBER(SEARCH($A23,INDEX(Index_CT!$D$2:$D$36,MATCH(W$3,Index_CT!$A$2:$A$36,0)))),"X","")</f>
        <v/>
      </c>
      <c r="X23" s="39" t="str">
        <f>IF(ISNUMBER(SEARCH($A23,INDEX(Index_CT!$D$2:$D$36,MATCH(X$3,Index_CT!$A$2:$A$36,0)))),"X","")</f>
        <v/>
      </c>
      <c r="Y23" s="39" t="str">
        <f>IF(ISNUMBER(SEARCH($A23,INDEX(Index_CT!$D$2:$D$36,MATCH(Y$3,Index_CT!$A$2:$A$36,0)))),"X","")</f>
        <v/>
      </c>
      <c r="Z23" s="39" t="str">
        <f>IF(ISNUMBER(SEARCH($A23,INDEX(Index_CT!$D$2:$D$36,MATCH(Z$3,Index_CT!$A$2:$A$36,0)))),"X","")</f>
        <v/>
      </c>
      <c r="AA23" s="39" t="str">
        <f>IF(ISNUMBER(SEARCH($A23,INDEX(Index_CT!$D$2:$D$36,MATCH(AA$3,Index_CT!$A$2:$A$36,0)))),"X","")</f>
        <v/>
      </c>
      <c r="AB23" s="39" t="str">
        <f>IF(ISNUMBER(SEARCH($A23,INDEX(Index_CT!$D$2:$D$36,MATCH(AB$3,Index_CT!$A$2:$A$36,0)))),"X","")</f>
        <v/>
      </c>
      <c r="AC23" s="39" t="str">
        <f>IF(ISNUMBER(SEARCH($A23,INDEX(Index_CT!$D$2:$D$36,MATCH(AC$3,Index_CT!$A$2:$A$36,0)))),"X","")</f>
        <v/>
      </c>
      <c r="AD23" s="39" t="str">
        <f>IF(ISNUMBER(SEARCH($A23,INDEX(Index_CT!$D$2:$D$36,MATCH(AD$3,Index_CT!$A$2:$A$36,0)))),"X","")</f>
        <v/>
      </c>
      <c r="AE23" s="39" t="str">
        <f>IF(ISNUMBER(SEARCH($A23,INDEX(Index_CT!$D$2:$D$36,MATCH(AE$3,Index_CT!$A$2:$A$36,0)))),"X","")</f>
        <v/>
      </c>
      <c r="AF23" s="39" t="str">
        <f>IF(ISNUMBER(SEARCH($A23,INDEX(Index_CT!$D$2:$D$36,MATCH(AF$3,Index_CT!$A$2:$A$36,0)))),"X","")</f>
        <v/>
      </c>
      <c r="AG23" s="39" t="str">
        <f>IF(ISNUMBER(SEARCH($A23,INDEX(Index_CT!$D$2:$D$36,MATCH(AG$3,Index_CT!$A$2:$A$36,0)))),"X","")</f>
        <v/>
      </c>
      <c r="AH23" s="39" t="str">
        <f>IF(ISNUMBER(SEARCH($A23,INDEX(Index_CT!$D$2:$D$36,MATCH(AH$3,Index_CT!$A$2:$A$36,0)))),"X","")</f>
        <v/>
      </c>
      <c r="AI23" s="39" t="str">
        <f>IF(ISNUMBER(SEARCH($A23,INDEX(Index_CT!$D$2:$D$36,MATCH(AI$3,Index_CT!$A$2:$A$36,0)))),"X","")</f>
        <v/>
      </c>
      <c r="AJ23" s="39" t="str">
        <f>IF(ISNUMBER(SEARCH($A23,INDEX(Index_CT!$D$2:$D$36,MATCH(AJ$3,Index_CT!$A$2:$A$36,0)))),"X","")</f>
        <v/>
      </c>
      <c r="AK23" s="39" t="str">
        <f>IF(ISNUMBER(SEARCH($A23,INDEX(Index_CT!$D$2:$D$36,MATCH(AK$3,Index_CT!$A$2:$A$36,0)))),"X","")</f>
        <v/>
      </c>
      <c r="AL23" s="39" t="str">
        <f>IF(ISNUMBER(SEARCH($A23,INDEX(Index_CT!$D$2:$D$36,MATCH(AL$3,Index_CT!$A$2:$A$36,0)))),"X","")</f>
        <v/>
      </c>
      <c r="AM23" s="39" t="str">
        <f>IF(ISNUMBER(SEARCH($A23,INDEX(Index_CT!$D$2:$D$36,MATCH(AM$3,Index_CT!$A$2:$A$36,0)))),"X","")</f>
        <v/>
      </c>
      <c r="AN23" s="39" t="str">
        <f>IF(ISNUMBER(SEARCH($A23,INDEX(Index_CT!$D$2:$D$36,MATCH(AN$3,Index_CT!$A$2:$A$36,0)))),"X","")</f>
        <v/>
      </c>
      <c r="AO23" s="39" t="str">
        <f>IF(ISNUMBER(SEARCH($A23,INDEX(Index_CT!$D$2:$D$36,MATCH(AO$3,Index_CT!$A$2:$A$36,0)))),"X","")</f>
        <v/>
      </c>
      <c r="AP23" s="39" t="str">
        <f>IF(ISNUMBER(SEARCH($A23,INDEX(Index_CT!$D$2:$D$36,MATCH(AP$3,Index_CT!$A$2:$A$36,0)))),"X","")</f>
        <v/>
      </c>
      <c r="AQ23" s="39" t="str">
        <f>IF(ISNUMBER(SEARCH($A23,INDEX(Index_CT!$D$2:$D$36,MATCH(AQ$3,Index_CT!$A$2:$A$36,0)))),"X","")</f>
        <v/>
      </c>
      <c r="AR23" s="39" t="str">
        <f>IF(ISNUMBER(SEARCH($A23,INDEX(Index_CT!$D$2:$D$36,MATCH(AR$3,Index_CT!$A$2:$A$36,0)))),"X","")</f>
        <v/>
      </c>
      <c r="AS23" s="39" t="str">
        <f>IF(ISNUMBER(SEARCH($A23,INDEX(Index_CT!$D$2:$D$36,MATCH(AS$3,Index_CT!$A$2:$A$36,0)))),"X","")</f>
        <v/>
      </c>
      <c r="AT23" s="39" t="str">
        <f>IF(ISNUMBER(SEARCH($A23,INDEX(Index_CT!$D$2:$D$36,MATCH(AT$3,Index_CT!$A$2:$A$36,0)))),"X","")</f>
        <v/>
      </c>
      <c r="AU23" s="39" t="str">
        <f>IF(ISNUMBER(SEARCH($A23,INDEX(Index_CT!$D$2:$D$36,MATCH(AU$3,Index_CT!$A$2:$A$36,0)))),"X","")</f>
        <v/>
      </c>
      <c r="AV23" s="39" t="str">
        <f>IF(ISNUMBER(SEARCH($A23,INDEX(Index_CT!$D$2:$D$36,MATCH(AV$3,Index_CT!$A$2:$A$36,0)))),"X","")</f>
        <v/>
      </c>
      <c r="AW23" s="39" t="str">
        <f>IF(ISNUMBER(SEARCH($A23,INDEX(Index_CT!$D$2:$D$36,MATCH(AW$3,Index_CT!$A$2:$A$36,0)))),"X","")</f>
        <v/>
      </c>
      <c r="AX23" s="39" t="str">
        <f>IF(ISNUMBER(SEARCH($A23,INDEX(Index_CT!$D$2:$D$36,MATCH(AX$3,Index_CT!$A$2:$A$36,0)))),"X","")</f>
        <v/>
      </c>
      <c r="AY23" s="39" t="str">
        <f>IF(ISNUMBER(SEARCH($A23,INDEX(Index_CT!$D$2:$D$36,MATCH(AY$3,Index_CT!$A$2:$A$36,0)))),"X","")</f>
        <v/>
      </c>
      <c r="AZ23" s="39" t="str">
        <f>IF(ISNUMBER(SEARCH($A23,INDEX(Index_CT!$D$2:$D$36,MATCH(AZ$3,Index_CT!$A$2:$A$36,0)))),"X","")</f>
        <v/>
      </c>
      <c r="BA23" s="39" t="str">
        <f>IF(ISNUMBER(SEARCH($A23,INDEX(Index_CT!$D$2:$D$36,MATCH(BA$3,Index_CT!$A$2:$A$36,0)))),"X","")</f>
        <v/>
      </c>
      <c r="BB23" s="39" t="str">
        <f>IF(ISNUMBER(SEARCH($A23,INDEX(Index_CT!$D$2:$D$36,MATCH(BB$3,Index_CT!$A$2:$A$36,0)))),"X","")</f>
        <v/>
      </c>
      <c r="BC23" s="39" t="str">
        <f>IF(ISNUMBER(SEARCH($A23,INDEX(Index_CT!$D$2:$D$36,MATCH(BC$3,Index_CT!$A$2:$A$36,0)))),"X","")</f>
        <v/>
      </c>
      <c r="BD23" s="39" t="str">
        <f>IF(ISNUMBER(SEARCH($A23,INDEX(Index_CT!$D$2:$D$36,MATCH(BD$3,Index_CT!$A$2:$A$36,0)))),"X","")</f>
        <v/>
      </c>
      <c r="BE23" s="39" t="str">
        <f>IF(ISNUMBER(SEARCH($A23,INDEX(Index_CT!$D$2:$D$36,MATCH(BE$3,Index_CT!$A$2:$A$36,0)))),"X","")</f>
        <v/>
      </c>
      <c r="BF23" s="39" t="str">
        <f>IF(ISNUMBER(SEARCH($A23,INDEX(Index_CT!$D$2:$D$36,MATCH(BF$3,Index_CT!$A$2:$A$36,0)))),"X","")</f>
        <v/>
      </c>
      <c r="BG23" s="39" t="str">
        <f>IF(ISNUMBER(SEARCH($A23,INDEX(Index_CT!$D$2:$D$36,MATCH(BG$3,Index_CT!$A$2:$A$36,0)))),"X","")</f>
        <v/>
      </c>
      <c r="BH23" s="39" t="str">
        <f>IF(ISNUMBER(SEARCH($A23,INDEX(Index_CT!$D$2:$D$36,MATCH(BH$3,Index_CT!$A$2:$A$36,0)))),"X","")</f>
        <v/>
      </c>
      <c r="BI23" s="39" t="str">
        <f>IF(ISNUMBER(SEARCH($A23,INDEX(Index_CT!$D$2:$D$36,MATCH(BI$3,Index_CT!$A$2:$A$36,0)))),"X","")</f>
        <v/>
      </c>
      <c r="BJ23" s="39" t="str">
        <f>IF(ISNUMBER(SEARCH($A23,INDEX(Index_CT!$D$2:$D$36,MATCH(BJ$3,Index_CT!$A$2:$A$36,0)))),"X","")</f>
        <v/>
      </c>
      <c r="BK23" s="39" t="str">
        <f>IF(ISNUMBER(SEARCH($A23,INDEX(Index_CT!$D$2:$D$36,MATCH(BK$3,Index_CT!$A$2:$A$36,0)))),"X","")</f>
        <v/>
      </c>
      <c r="BL23" s="39" t="str">
        <f>IF(ISNUMBER(SEARCH($A23,INDEX(Index_CT!$D$2:$D$36,MATCH(BL$3,Index_CT!$A$2:$A$36,0)))),"X","")</f>
        <v/>
      </c>
      <c r="BM23" s="39" t="str">
        <f>IF(ISNUMBER(SEARCH($A23,INDEX(Index_CT!$D$2:$D$36,MATCH(BM$3,Index_CT!$A$2:$A$36,0)))),"X","")</f>
        <v/>
      </c>
      <c r="BN23" s="39" t="str">
        <f>IF(ISNUMBER(SEARCH($A23,INDEX(Index_CT!$D$2:$D$36,MATCH(BN$3,Index_CT!$A$2:$A$36,0)))),"X","")</f>
        <v/>
      </c>
      <c r="BO23" s="39" t="str">
        <f>IF(ISNUMBER(SEARCH($A23,INDEX(Index_CT!$D$2:$D$36,MATCH(BO$3,Index_CT!$A$2:$A$36,0)))),"X","")</f>
        <v/>
      </c>
      <c r="BP23" s="39" t="str">
        <f>IF(ISNUMBER(SEARCH($A23,INDEX(Index_CT!$D$2:$D$36,MATCH(BP$3,Index_CT!$A$2:$A$36,0)))),"X","")</f>
        <v/>
      </c>
      <c r="BQ23" s="39" t="str">
        <f>IF(ISNUMBER(SEARCH($A23,INDEX(Index_CT!$D$2:$D$36,MATCH(BQ$3,Index_CT!$A$2:$A$36,0)))),"X","")</f>
        <v/>
      </c>
      <c r="BR23" s="39" t="str">
        <f>IF(ISNUMBER(SEARCH($A23,INDEX(Index_CT!$D$2:$D$36,MATCH(BR$3,Index_CT!$A$2:$A$36,0)))),"X","")</f>
        <v/>
      </c>
    </row>
    <row r="24" spans="1:70" ht="26.25" customHeight="1" x14ac:dyDescent="0.25">
      <c r="A24" s="33" t="s">
        <v>424</v>
      </c>
      <c r="B24" s="34" t="s">
        <v>535</v>
      </c>
      <c r="C24" s="33" t="s">
        <v>83</v>
      </c>
      <c r="D24" s="33">
        <f t="shared" si="0"/>
        <v>0</v>
      </c>
      <c r="E24" s="39" t="str">
        <f>IF(ISNUMBER(SEARCH($A24,INDEX(Index_CT!$D$2:$D$36,MATCH(E$3,Index_CT!$A$2:$A$36,0)))),"X","")</f>
        <v/>
      </c>
      <c r="F24" s="39" t="str">
        <f>IF(ISNUMBER(SEARCH($A24,INDEX(Index_CT!$D$2:$D$36,MATCH(F$3,Index_CT!$A$2:$A$36,0)))),"X","")</f>
        <v/>
      </c>
      <c r="G24" s="39" t="str">
        <f>IF(ISNUMBER(SEARCH($A24,INDEX(Index_CT!$D$2:$D$36,MATCH(G$3,Index_CT!$A$2:$A$36,0)))),"X","")</f>
        <v/>
      </c>
      <c r="H24" s="39" t="str">
        <f>IF(ISNUMBER(SEARCH($A24,INDEX(Index_CT!$D$2:$D$36,MATCH(H$3,Index_CT!$A$2:$A$36,0)))),"X","")</f>
        <v/>
      </c>
      <c r="I24" s="39" t="str">
        <f>IF(ISNUMBER(SEARCH($A24,INDEX(Index_CT!$D$2:$D$36,MATCH(I$3,Index_CT!$A$2:$A$36,0)))),"X","")</f>
        <v/>
      </c>
      <c r="J24" s="39" t="str">
        <f>IF(ISNUMBER(SEARCH($A24,INDEX(Index_CT!$D$2:$D$36,MATCH(J$3,Index_CT!$A$2:$A$36,0)))),"X","")</f>
        <v/>
      </c>
      <c r="K24" s="39" t="str">
        <f>IF(ISNUMBER(SEARCH($A24,INDEX(Index_CT!$D$2:$D$36,MATCH(K$3,Index_CT!$A$2:$A$36,0)))),"X","")</f>
        <v/>
      </c>
      <c r="L24" s="39" t="str">
        <f>IF(ISNUMBER(SEARCH($A24,INDEX(Index_CT!$D$2:$D$36,MATCH(L$3,Index_CT!$A$2:$A$36,0)))),"X","")</f>
        <v/>
      </c>
      <c r="M24" s="39" t="str">
        <f>IF(ISNUMBER(SEARCH($A24,INDEX(Index_CT!$D$2:$D$36,MATCH(M$3,Index_CT!$A$2:$A$36,0)))),"X","")</f>
        <v/>
      </c>
      <c r="N24" s="39" t="str">
        <f>IF(ISNUMBER(SEARCH($A24,INDEX(Index_CT!$D$2:$D$36,MATCH(N$3,Index_CT!$A$2:$A$36,0)))),"X","")</f>
        <v/>
      </c>
      <c r="O24" s="39" t="str">
        <f>IF(ISNUMBER(SEARCH($A24,INDEX(Index_CT!$D$2:$D$36,MATCH(O$3,Index_CT!$A$2:$A$36,0)))),"X","")</f>
        <v/>
      </c>
      <c r="P24" s="39" t="str">
        <f>IF(ISNUMBER(SEARCH($A24,INDEX(Index_CT!$D$2:$D$36,MATCH(P$3,Index_CT!$A$2:$A$36,0)))),"X","")</f>
        <v/>
      </c>
      <c r="Q24" s="39" t="str">
        <f>IF(ISNUMBER(SEARCH($A24,INDEX(Index_CT!$D$2:$D$36,MATCH(Q$3,Index_CT!$A$2:$A$36,0)))),"X","")</f>
        <v/>
      </c>
      <c r="R24" s="39" t="str">
        <f>IF(ISNUMBER(SEARCH($A24,INDEX(Index_CT!$D$2:$D$36,MATCH(R$3,Index_CT!$A$2:$A$36,0)))),"X","")</f>
        <v/>
      </c>
      <c r="S24" s="39" t="str">
        <f>IF(ISNUMBER(SEARCH($A24,INDEX(Index_CT!$D$2:$D$36,MATCH(S$3,Index_CT!$A$2:$A$36,0)))),"X","")</f>
        <v/>
      </c>
      <c r="T24" s="39" t="str">
        <f>IF(ISNUMBER(SEARCH($A24,INDEX(Index_CT!$D$2:$D$36,MATCH(T$3,Index_CT!$A$2:$A$36,0)))),"X","")</f>
        <v/>
      </c>
      <c r="U24" s="39" t="str">
        <f>IF(ISNUMBER(SEARCH($A24,INDEX(Index_CT!$D$2:$D$36,MATCH(U$3,Index_CT!$A$2:$A$36,0)))),"X","")</f>
        <v/>
      </c>
      <c r="V24" s="39" t="str">
        <f>IF(ISNUMBER(SEARCH($A24,INDEX(Index_CT!$D$2:$D$36,MATCH(V$3,Index_CT!$A$2:$A$36,0)))),"X","")</f>
        <v/>
      </c>
      <c r="W24" s="39" t="str">
        <f>IF(ISNUMBER(SEARCH($A24,INDEX(Index_CT!$D$2:$D$36,MATCH(W$3,Index_CT!$A$2:$A$36,0)))),"X","")</f>
        <v/>
      </c>
      <c r="X24" s="39" t="str">
        <f>IF(ISNUMBER(SEARCH($A24,INDEX(Index_CT!$D$2:$D$36,MATCH(X$3,Index_CT!$A$2:$A$36,0)))),"X","")</f>
        <v/>
      </c>
      <c r="Y24" s="39" t="str">
        <f>IF(ISNUMBER(SEARCH($A24,INDEX(Index_CT!$D$2:$D$36,MATCH(Y$3,Index_CT!$A$2:$A$36,0)))),"X","")</f>
        <v/>
      </c>
      <c r="Z24" s="39" t="str">
        <f>IF(ISNUMBER(SEARCH($A24,INDEX(Index_CT!$D$2:$D$36,MATCH(Z$3,Index_CT!$A$2:$A$36,0)))),"X","")</f>
        <v/>
      </c>
      <c r="AA24" s="39" t="str">
        <f>IF(ISNUMBER(SEARCH($A24,INDEX(Index_CT!$D$2:$D$36,MATCH(AA$3,Index_CT!$A$2:$A$36,0)))),"X","")</f>
        <v/>
      </c>
      <c r="AB24" s="39" t="str">
        <f>IF(ISNUMBER(SEARCH($A24,INDEX(Index_CT!$D$2:$D$36,MATCH(AB$3,Index_CT!$A$2:$A$36,0)))),"X","")</f>
        <v/>
      </c>
      <c r="AC24" s="39" t="str">
        <f>IF(ISNUMBER(SEARCH($A24,INDEX(Index_CT!$D$2:$D$36,MATCH(AC$3,Index_CT!$A$2:$A$36,0)))),"X","")</f>
        <v/>
      </c>
      <c r="AD24" s="39" t="str">
        <f>IF(ISNUMBER(SEARCH($A24,INDEX(Index_CT!$D$2:$D$36,MATCH(AD$3,Index_CT!$A$2:$A$36,0)))),"X","")</f>
        <v/>
      </c>
      <c r="AE24" s="39" t="str">
        <f>IF(ISNUMBER(SEARCH($A24,INDEX(Index_CT!$D$2:$D$36,MATCH(AE$3,Index_CT!$A$2:$A$36,0)))),"X","")</f>
        <v/>
      </c>
      <c r="AF24" s="39" t="str">
        <f>IF(ISNUMBER(SEARCH($A24,INDEX(Index_CT!$D$2:$D$36,MATCH(AF$3,Index_CT!$A$2:$A$36,0)))),"X","")</f>
        <v/>
      </c>
      <c r="AG24" s="39" t="str">
        <f>IF(ISNUMBER(SEARCH($A24,INDEX(Index_CT!$D$2:$D$36,MATCH(AG$3,Index_CT!$A$2:$A$36,0)))),"X","")</f>
        <v/>
      </c>
      <c r="AH24" s="39" t="str">
        <f>IF(ISNUMBER(SEARCH($A24,INDEX(Index_CT!$D$2:$D$36,MATCH(AH$3,Index_CT!$A$2:$A$36,0)))),"X","")</f>
        <v/>
      </c>
      <c r="AI24" s="39" t="str">
        <f>IF(ISNUMBER(SEARCH($A24,INDEX(Index_CT!$D$2:$D$36,MATCH(AI$3,Index_CT!$A$2:$A$36,0)))),"X","")</f>
        <v/>
      </c>
      <c r="AJ24" s="39" t="str">
        <f>IF(ISNUMBER(SEARCH($A24,INDEX(Index_CT!$D$2:$D$36,MATCH(AJ$3,Index_CT!$A$2:$A$36,0)))),"X","")</f>
        <v/>
      </c>
      <c r="AK24" s="39" t="str">
        <f>IF(ISNUMBER(SEARCH($A24,INDEX(Index_CT!$D$2:$D$36,MATCH(AK$3,Index_CT!$A$2:$A$36,0)))),"X","")</f>
        <v/>
      </c>
      <c r="AL24" s="39" t="str">
        <f>IF(ISNUMBER(SEARCH($A24,INDEX(Index_CT!$D$2:$D$36,MATCH(AL$3,Index_CT!$A$2:$A$36,0)))),"X","")</f>
        <v/>
      </c>
      <c r="AM24" s="39" t="str">
        <f>IF(ISNUMBER(SEARCH($A24,INDEX(Index_CT!$D$2:$D$36,MATCH(AM$3,Index_CT!$A$2:$A$36,0)))),"X","")</f>
        <v/>
      </c>
      <c r="AN24" s="39" t="str">
        <f>IF(ISNUMBER(SEARCH($A24,INDEX(Index_CT!$D$2:$D$36,MATCH(AN$3,Index_CT!$A$2:$A$36,0)))),"X","")</f>
        <v/>
      </c>
      <c r="AO24" s="39" t="str">
        <f>IF(ISNUMBER(SEARCH($A24,INDEX(Index_CT!$D$2:$D$36,MATCH(AO$3,Index_CT!$A$2:$A$36,0)))),"X","")</f>
        <v/>
      </c>
      <c r="AP24" s="39" t="str">
        <f>IF(ISNUMBER(SEARCH($A24,INDEX(Index_CT!$D$2:$D$36,MATCH(AP$3,Index_CT!$A$2:$A$36,0)))),"X","")</f>
        <v/>
      </c>
      <c r="AQ24" s="39" t="str">
        <f>IF(ISNUMBER(SEARCH($A24,INDEX(Index_CT!$D$2:$D$36,MATCH(AQ$3,Index_CT!$A$2:$A$36,0)))),"X","")</f>
        <v/>
      </c>
      <c r="AR24" s="39" t="str">
        <f>IF(ISNUMBER(SEARCH($A24,INDEX(Index_CT!$D$2:$D$36,MATCH(AR$3,Index_CT!$A$2:$A$36,0)))),"X","")</f>
        <v/>
      </c>
      <c r="AS24" s="39" t="str">
        <f>IF(ISNUMBER(SEARCH($A24,INDEX(Index_CT!$D$2:$D$36,MATCH(AS$3,Index_CT!$A$2:$A$36,0)))),"X","")</f>
        <v/>
      </c>
      <c r="AT24" s="39" t="str">
        <f>IF(ISNUMBER(SEARCH($A24,INDEX(Index_CT!$D$2:$D$36,MATCH(AT$3,Index_CT!$A$2:$A$36,0)))),"X","")</f>
        <v/>
      </c>
      <c r="AU24" s="39" t="str">
        <f>IF(ISNUMBER(SEARCH($A24,INDEX(Index_CT!$D$2:$D$36,MATCH(AU$3,Index_CT!$A$2:$A$36,0)))),"X","")</f>
        <v/>
      </c>
      <c r="AV24" s="39" t="str">
        <f>IF(ISNUMBER(SEARCH($A24,INDEX(Index_CT!$D$2:$D$36,MATCH(AV$3,Index_CT!$A$2:$A$36,0)))),"X","")</f>
        <v/>
      </c>
      <c r="AW24" s="39" t="str">
        <f>IF(ISNUMBER(SEARCH($A24,INDEX(Index_CT!$D$2:$D$36,MATCH(AW$3,Index_CT!$A$2:$A$36,0)))),"X","")</f>
        <v/>
      </c>
      <c r="AX24" s="39" t="str">
        <f>IF(ISNUMBER(SEARCH($A24,INDEX(Index_CT!$D$2:$D$36,MATCH(AX$3,Index_CT!$A$2:$A$36,0)))),"X","")</f>
        <v/>
      </c>
      <c r="AY24" s="39" t="str">
        <f>IF(ISNUMBER(SEARCH($A24,INDEX(Index_CT!$D$2:$D$36,MATCH(AY$3,Index_CT!$A$2:$A$36,0)))),"X","")</f>
        <v/>
      </c>
      <c r="AZ24" s="39" t="str">
        <f>IF(ISNUMBER(SEARCH($A24,INDEX(Index_CT!$D$2:$D$36,MATCH(AZ$3,Index_CT!$A$2:$A$36,0)))),"X","")</f>
        <v/>
      </c>
      <c r="BA24" s="39" t="str">
        <f>IF(ISNUMBER(SEARCH($A24,INDEX(Index_CT!$D$2:$D$36,MATCH(BA$3,Index_CT!$A$2:$A$36,0)))),"X","")</f>
        <v/>
      </c>
      <c r="BB24" s="39" t="str">
        <f>IF(ISNUMBER(SEARCH($A24,INDEX(Index_CT!$D$2:$D$36,MATCH(BB$3,Index_CT!$A$2:$A$36,0)))),"X","")</f>
        <v/>
      </c>
      <c r="BC24" s="39" t="str">
        <f>IF(ISNUMBER(SEARCH($A24,INDEX(Index_CT!$D$2:$D$36,MATCH(BC$3,Index_CT!$A$2:$A$36,0)))),"X","")</f>
        <v/>
      </c>
      <c r="BD24" s="39" t="str">
        <f>IF(ISNUMBER(SEARCH($A24,INDEX(Index_CT!$D$2:$D$36,MATCH(BD$3,Index_CT!$A$2:$A$36,0)))),"X","")</f>
        <v/>
      </c>
      <c r="BE24" s="39" t="str">
        <f>IF(ISNUMBER(SEARCH($A24,INDEX(Index_CT!$D$2:$D$36,MATCH(BE$3,Index_CT!$A$2:$A$36,0)))),"X","")</f>
        <v/>
      </c>
      <c r="BF24" s="39" t="str">
        <f>IF(ISNUMBER(SEARCH($A24,INDEX(Index_CT!$D$2:$D$36,MATCH(BF$3,Index_CT!$A$2:$A$36,0)))),"X","")</f>
        <v/>
      </c>
      <c r="BG24" s="39" t="str">
        <f>IF(ISNUMBER(SEARCH($A24,INDEX(Index_CT!$D$2:$D$36,MATCH(BG$3,Index_CT!$A$2:$A$36,0)))),"X","")</f>
        <v/>
      </c>
      <c r="BH24" s="39" t="str">
        <f>IF(ISNUMBER(SEARCH($A24,INDEX(Index_CT!$D$2:$D$36,MATCH(BH$3,Index_CT!$A$2:$A$36,0)))),"X","")</f>
        <v/>
      </c>
      <c r="BI24" s="39" t="str">
        <f>IF(ISNUMBER(SEARCH($A24,INDEX(Index_CT!$D$2:$D$36,MATCH(BI$3,Index_CT!$A$2:$A$36,0)))),"X","")</f>
        <v/>
      </c>
      <c r="BJ24" s="39" t="str">
        <f>IF(ISNUMBER(SEARCH($A24,INDEX(Index_CT!$D$2:$D$36,MATCH(BJ$3,Index_CT!$A$2:$A$36,0)))),"X","")</f>
        <v/>
      </c>
      <c r="BK24" s="39" t="str">
        <f>IF(ISNUMBER(SEARCH($A24,INDEX(Index_CT!$D$2:$D$36,MATCH(BK$3,Index_CT!$A$2:$A$36,0)))),"X","")</f>
        <v/>
      </c>
      <c r="BL24" s="39" t="str">
        <f>IF(ISNUMBER(SEARCH($A24,INDEX(Index_CT!$D$2:$D$36,MATCH(BL$3,Index_CT!$A$2:$A$36,0)))),"X","")</f>
        <v/>
      </c>
      <c r="BM24" s="39" t="str">
        <f>IF(ISNUMBER(SEARCH($A24,INDEX(Index_CT!$D$2:$D$36,MATCH(BM$3,Index_CT!$A$2:$A$36,0)))),"X","")</f>
        <v/>
      </c>
      <c r="BN24" s="39" t="str">
        <f>IF(ISNUMBER(SEARCH($A24,INDEX(Index_CT!$D$2:$D$36,MATCH(BN$3,Index_CT!$A$2:$A$36,0)))),"X","")</f>
        <v/>
      </c>
      <c r="BO24" s="39" t="str">
        <f>IF(ISNUMBER(SEARCH($A24,INDEX(Index_CT!$D$2:$D$36,MATCH(BO$3,Index_CT!$A$2:$A$36,0)))),"X","")</f>
        <v/>
      </c>
      <c r="BP24" s="39" t="str">
        <f>IF(ISNUMBER(SEARCH($A24,INDEX(Index_CT!$D$2:$D$36,MATCH(BP$3,Index_CT!$A$2:$A$36,0)))),"X","")</f>
        <v/>
      </c>
      <c r="BQ24" s="39" t="str">
        <f>IF(ISNUMBER(SEARCH($A24,INDEX(Index_CT!$D$2:$D$36,MATCH(BQ$3,Index_CT!$A$2:$A$36,0)))),"X","")</f>
        <v/>
      </c>
      <c r="BR24" s="39" t="str">
        <f>IF(ISNUMBER(SEARCH($A24,INDEX(Index_CT!$D$2:$D$36,MATCH(BR$3,Index_CT!$A$2:$A$36,0)))),"X","")</f>
        <v/>
      </c>
    </row>
    <row r="25" spans="1:70" x14ac:dyDescent="0.25">
      <c r="A25" s="33" t="s">
        <v>427</v>
      </c>
      <c r="B25" s="34" t="s">
        <v>536</v>
      </c>
      <c r="C25" s="33" t="s">
        <v>53</v>
      </c>
      <c r="D25" s="33">
        <f t="shared" si="0"/>
        <v>0</v>
      </c>
      <c r="E25" s="39" t="str">
        <f>IF(ISNUMBER(SEARCH($A25,INDEX(Index_CT!$D$2:$D$36,MATCH(E$3,Index_CT!$A$2:$A$36,0)))),"X","")</f>
        <v/>
      </c>
      <c r="F25" s="39" t="str">
        <f>IF(ISNUMBER(SEARCH($A25,INDEX(Index_CT!$D$2:$D$36,MATCH(F$3,Index_CT!$A$2:$A$36,0)))),"X","")</f>
        <v/>
      </c>
      <c r="G25" s="39" t="str">
        <f>IF(ISNUMBER(SEARCH($A25,INDEX(Index_CT!$D$2:$D$36,MATCH(G$3,Index_CT!$A$2:$A$36,0)))),"X","")</f>
        <v/>
      </c>
      <c r="H25" s="39" t="str">
        <f>IF(ISNUMBER(SEARCH($A25,INDEX(Index_CT!$D$2:$D$36,MATCH(H$3,Index_CT!$A$2:$A$36,0)))),"X","")</f>
        <v/>
      </c>
      <c r="I25" s="39" t="str">
        <f>IF(ISNUMBER(SEARCH($A25,INDEX(Index_CT!$D$2:$D$36,MATCH(I$3,Index_CT!$A$2:$A$36,0)))),"X","")</f>
        <v/>
      </c>
      <c r="J25" s="39" t="str">
        <f>IF(ISNUMBER(SEARCH($A25,INDEX(Index_CT!$D$2:$D$36,MATCH(J$3,Index_CT!$A$2:$A$36,0)))),"X","")</f>
        <v/>
      </c>
      <c r="K25" s="39" t="str">
        <f>IF(ISNUMBER(SEARCH($A25,INDEX(Index_CT!$D$2:$D$36,MATCH(K$3,Index_CT!$A$2:$A$36,0)))),"X","")</f>
        <v/>
      </c>
      <c r="L25" s="39" t="str">
        <f>IF(ISNUMBER(SEARCH($A25,INDEX(Index_CT!$D$2:$D$36,MATCH(L$3,Index_CT!$A$2:$A$36,0)))),"X","")</f>
        <v/>
      </c>
      <c r="M25" s="39" t="str">
        <f>IF(ISNUMBER(SEARCH($A25,INDEX(Index_CT!$D$2:$D$36,MATCH(M$3,Index_CT!$A$2:$A$36,0)))),"X","")</f>
        <v/>
      </c>
      <c r="N25" s="39" t="str">
        <f>IF(ISNUMBER(SEARCH($A25,INDEX(Index_CT!$D$2:$D$36,MATCH(N$3,Index_CT!$A$2:$A$36,0)))),"X","")</f>
        <v/>
      </c>
      <c r="O25" s="39" t="str">
        <f>IF(ISNUMBER(SEARCH($A25,INDEX(Index_CT!$D$2:$D$36,MATCH(O$3,Index_CT!$A$2:$A$36,0)))),"X","")</f>
        <v/>
      </c>
      <c r="P25" s="39" t="str">
        <f>IF(ISNUMBER(SEARCH($A25,INDEX(Index_CT!$D$2:$D$36,MATCH(P$3,Index_CT!$A$2:$A$36,0)))),"X","")</f>
        <v/>
      </c>
      <c r="Q25" s="39" t="str">
        <f>IF(ISNUMBER(SEARCH($A25,INDEX(Index_CT!$D$2:$D$36,MATCH(Q$3,Index_CT!$A$2:$A$36,0)))),"X","")</f>
        <v/>
      </c>
      <c r="R25" s="39" t="str">
        <f>IF(ISNUMBER(SEARCH($A25,INDEX(Index_CT!$D$2:$D$36,MATCH(R$3,Index_CT!$A$2:$A$36,0)))),"X","")</f>
        <v/>
      </c>
      <c r="S25" s="39" t="str">
        <f>IF(ISNUMBER(SEARCH($A25,INDEX(Index_CT!$D$2:$D$36,MATCH(S$3,Index_CT!$A$2:$A$36,0)))),"X","")</f>
        <v/>
      </c>
      <c r="T25" s="39" t="str">
        <f>IF(ISNUMBER(SEARCH($A25,INDEX(Index_CT!$D$2:$D$36,MATCH(T$3,Index_CT!$A$2:$A$36,0)))),"X","")</f>
        <v/>
      </c>
      <c r="U25" s="39" t="str">
        <f>IF(ISNUMBER(SEARCH($A25,INDEX(Index_CT!$D$2:$D$36,MATCH(U$3,Index_CT!$A$2:$A$36,0)))),"X","")</f>
        <v/>
      </c>
      <c r="V25" s="39" t="str">
        <f>IF(ISNUMBER(SEARCH($A25,INDEX(Index_CT!$D$2:$D$36,MATCH(V$3,Index_CT!$A$2:$A$36,0)))),"X","")</f>
        <v/>
      </c>
      <c r="W25" s="39" t="str">
        <f>IF(ISNUMBER(SEARCH($A25,INDEX(Index_CT!$D$2:$D$36,MATCH(W$3,Index_CT!$A$2:$A$36,0)))),"X","")</f>
        <v/>
      </c>
      <c r="X25" s="39" t="str">
        <f>IF(ISNUMBER(SEARCH($A25,INDEX(Index_CT!$D$2:$D$36,MATCH(X$3,Index_CT!$A$2:$A$36,0)))),"X","")</f>
        <v/>
      </c>
      <c r="Y25" s="39" t="str">
        <f>IF(ISNUMBER(SEARCH($A25,INDEX(Index_CT!$D$2:$D$36,MATCH(Y$3,Index_CT!$A$2:$A$36,0)))),"X","")</f>
        <v/>
      </c>
      <c r="Z25" s="39" t="str">
        <f>IF(ISNUMBER(SEARCH($A25,INDEX(Index_CT!$D$2:$D$36,MATCH(Z$3,Index_CT!$A$2:$A$36,0)))),"X","")</f>
        <v/>
      </c>
      <c r="AA25" s="39" t="str">
        <f>IF(ISNUMBER(SEARCH($A25,INDEX(Index_CT!$D$2:$D$36,MATCH(AA$3,Index_CT!$A$2:$A$36,0)))),"X","")</f>
        <v/>
      </c>
      <c r="AB25" s="39" t="str">
        <f>IF(ISNUMBER(SEARCH($A25,INDEX(Index_CT!$D$2:$D$36,MATCH(AB$3,Index_CT!$A$2:$A$36,0)))),"X","")</f>
        <v/>
      </c>
      <c r="AC25" s="39" t="str">
        <f>IF(ISNUMBER(SEARCH($A25,INDEX(Index_CT!$D$2:$D$36,MATCH(AC$3,Index_CT!$A$2:$A$36,0)))),"X","")</f>
        <v/>
      </c>
      <c r="AD25" s="39" t="str">
        <f>IF(ISNUMBER(SEARCH($A25,INDEX(Index_CT!$D$2:$D$36,MATCH(AD$3,Index_CT!$A$2:$A$36,0)))),"X","")</f>
        <v/>
      </c>
      <c r="AE25" s="39" t="str">
        <f>IF(ISNUMBER(SEARCH($A25,INDEX(Index_CT!$D$2:$D$36,MATCH(AE$3,Index_CT!$A$2:$A$36,0)))),"X","")</f>
        <v/>
      </c>
      <c r="AF25" s="39" t="str">
        <f>IF(ISNUMBER(SEARCH($A25,INDEX(Index_CT!$D$2:$D$36,MATCH(AF$3,Index_CT!$A$2:$A$36,0)))),"X","")</f>
        <v/>
      </c>
      <c r="AG25" s="39" t="str">
        <f>IF(ISNUMBER(SEARCH($A25,INDEX(Index_CT!$D$2:$D$36,MATCH(AG$3,Index_CT!$A$2:$A$36,0)))),"X","")</f>
        <v/>
      </c>
      <c r="AH25" s="39" t="str">
        <f>IF(ISNUMBER(SEARCH($A25,INDEX(Index_CT!$D$2:$D$36,MATCH(AH$3,Index_CT!$A$2:$A$36,0)))),"X","")</f>
        <v/>
      </c>
      <c r="AI25" s="39" t="str">
        <f>IF(ISNUMBER(SEARCH($A25,INDEX(Index_CT!$D$2:$D$36,MATCH(AI$3,Index_CT!$A$2:$A$36,0)))),"X","")</f>
        <v/>
      </c>
      <c r="AJ25" s="39" t="str">
        <f>IF(ISNUMBER(SEARCH($A25,INDEX(Index_CT!$D$2:$D$36,MATCH(AJ$3,Index_CT!$A$2:$A$36,0)))),"X","")</f>
        <v/>
      </c>
      <c r="AK25" s="39" t="str">
        <f>IF(ISNUMBER(SEARCH($A25,INDEX(Index_CT!$D$2:$D$36,MATCH(AK$3,Index_CT!$A$2:$A$36,0)))),"X","")</f>
        <v/>
      </c>
      <c r="AL25" s="39" t="str">
        <f>IF(ISNUMBER(SEARCH($A25,INDEX(Index_CT!$D$2:$D$36,MATCH(AL$3,Index_CT!$A$2:$A$36,0)))),"X","")</f>
        <v/>
      </c>
      <c r="AM25" s="39" t="str">
        <f>IF(ISNUMBER(SEARCH($A25,INDEX(Index_CT!$D$2:$D$36,MATCH(AM$3,Index_CT!$A$2:$A$36,0)))),"X","")</f>
        <v/>
      </c>
      <c r="AN25" s="39" t="str">
        <f>IF(ISNUMBER(SEARCH($A25,INDEX(Index_CT!$D$2:$D$36,MATCH(AN$3,Index_CT!$A$2:$A$36,0)))),"X","")</f>
        <v/>
      </c>
      <c r="AO25" s="39" t="str">
        <f>IF(ISNUMBER(SEARCH($A25,INDEX(Index_CT!$D$2:$D$36,MATCH(AO$3,Index_CT!$A$2:$A$36,0)))),"X","")</f>
        <v/>
      </c>
      <c r="AP25" s="39" t="str">
        <f>IF(ISNUMBER(SEARCH($A25,INDEX(Index_CT!$D$2:$D$36,MATCH(AP$3,Index_CT!$A$2:$A$36,0)))),"X","")</f>
        <v/>
      </c>
      <c r="AQ25" s="39" t="str">
        <f>IF(ISNUMBER(SEARCH($A25,INDEX(Index_CT!$D$2:$D$36,MATCH(AQ$3,Index_CT!$A$2:$A$36,0)))),"X","")</f>
        <v/>
      </c>
      <c r="AR25" s="39" t="str">
        <f>IF(ISNUMBER(SEARCH($A25,INDEX(Index_CT!$D$2:$D$36,MATCH(AR$3,Index_CT!$A$2:$A$36,0)))),"X","")</f>
        <v/>
      </c>
      <c r="AS25" s="39" t="str">
        <f>IF(ISNUMBER(SEARCH($A25,INDEX(Index_CT!$D$2:$D$36,MATCH(AS$3,Index_CT!$A$2:$A$36,0)))),"X","")</f>
        <v/>
      </c>
      <c r="AT25" s="39" t="str">
        <f>IF(ISNUMBER(SEARCH($A25,INDEX(Index_CT!$D$2:$D$36,MATCH(AT$3,Index_CT!$A$2:$A$36,0)))),"X","")</f>
        <v/>
      </c>
      <c r="AU25" s="39" t="str">
        <f>IF(ISNUMBER(SEARCH($A25,INDEX(Index_CT!$D$2:$D$36,MATCH(AU$3,Index_CT!$A$2:$A$36,0)))),"X","")</f>
        <v/>
      </c>
      <c r="AV25" s="39" t="str">
        <f>IF(ISNUMBER(SEARCH($A25,INDEX(Index_CT!$D$2:$D$36,MATCH(AV$3,Index_CT!$A$2:$A$36,0)))),"X","")</f>
        <v/>
      </c>
      <c r="AW25" s="39" t="str">
        <f>IF(ISNUMBER(SEARCH($A25,INDEX(Index_CT!$D$2:$D$36,MATCH(AW$3,Index_CT!$A$2:$A$36,0)))),"X","")</f>
        <v/>
      </c>
      <c r="AX25" s="39" t="str">
        <f>IF(ISNUMBER(SEARCH($A25,INDEX(Index_CT!$D$2:$D$36,MATCH(AX$3,Index_CT!$A$2:$A$36,0)))),"X","")</f>
        <v/>
      </c>
      <c r="AY25" s="39" t="str">
        <f>IF(ISNUMBER(SEARCH($A25,INDEX(Index_CT!$D$2:$D$36,MATCH(AY$3,Index_CT!$A$2:$A$36,0)))),"X","")</f>
        <v/>
      </c>
      <c r="AZ25" s="39" t="str">
        <f>IF(ISNUMBER(SEARCH($A25,INDEX(Index_CT!$D$2:$D$36,MATCH(AZ$3,Index_CT!$A$2:$A$36,0)))),"X","")</f>
        <v/>
      </c>
      <c r="BA25" s="39" t="str">
        <f>IF(ISNUMBER(SEARCH($A25,INDEX(Index_CT!$D$2:$D$36,MATCH(BA$3,Index_CT!$A$2:$A$36,0)))),"X","")</f>
        <v/>
      </c>
      <c r="BB25" s="39" t="str">
        <f>IF(ISNUMBER(SEARCH($A25,INDEX(Index_CT!$D$2:$D$36,MATCH(BB$3,Index_CT!$A$2:$A$36,0)))),"X","")</f>
        <v/>
      </c>
      <c r="BC25" s="39" t="str">
        <f>IF(ISNUMBER(SEARCH($A25,INDEX(Index_CT!$D$2:$D$36,MATCH(BC$3,Index_CT!$A$2:$A$36,0)))),"X","")</f>
        <v/>
      </c>
      <c r="BD25" s="39" t="str">
        <f>IF(ISNUMBER(SEARCH($A25,INDEX(Index_CT!$D$2:$D$36,MATCH(BD$3,Index_CT!$A$2:$A$36,0)))),"X","")</f>
        <v/>
      </c>
      <c r="BE25" s="39" t="str">
        <f>IF(ISNUMBER(SEARCH($A25,INDEX(Index_CT!$D$2:$D$36,MATCH(BE$3,Index_CT!$A$2:$A$36,0)))),"X","")</f>
        <v/>
      </c>
      <c r="BF25" s="39" t="str">
        <f>IF(ISNUMBER(SEARCH($A25,INDEX(Index_CT!$D$2:$D$36,MATCH(BF$3,Index_CT!$A$2:$A$36,0)))),"X","")</f>
        <v/>
      </c>
      <c r="BG25" s="39" t="str">
        <f>IF(ISNUMBER(SEARCH($A25,INDEX(Index_CT!$D$2:$D$36,MATCH(BG$3,Index_CT!$A$2:$A$36,0)))),"X","")</f>
        <v/>
      </c>
      <c r="BH25" s="39" t="str">
        <f>IF(ISNUMBER(SEARCH($A25,INDEX(Index_CT!$D$2:$D$36,MATCH(BH$3,Index_CT!$A$2:$A$36,0)))),"X","")</f>
        <v/>
      </c>
      <c r="BI25" s="39" t="str">
        <f>IF(ISNUMBER(SEARCH($A25,INDEX(Index_CT!$D$2:$D$36,MATCH(BI$3,Index_CT!$A$2:$A$36,0)))),"X","")</f>
        <v/>
      </c>
      <c r="BJ25" s="39" t="str">
        <f>IF(ISNUMBER(SEARCH($A25,INDEX(Index_CT!$D$2:$D$36,MATCH(BJ$3,Index_CT!$A$2:$A$36,0)))),"X","")</f>
        <v/>
      </c>
      <c r="BK25" s="39" t="str">
        <f>IF(ISNUMBER(SEARCH($A25,INDEX(Index_CT!$D$2:$D$36,MATCH(BK$3,Index_CT!$A$2:$A$36,0)))),"X","")</f>
        <v/>
      </c>
      <c r="BL25" s="39" t="str">
        <f>IF(ISNUMBER(SEARCH($A25,INDEX(Index_CT!$D$2:$D$36,MATCH(BL$3,Index_CT!$A$2:$A$36,0)))),"X","")</f>
        <v/>
      </c>
      <c r="BM25" s="39" t="str">
        <f>IF(ISNUMBER(SEARCH($A25,INDEX(Index_CT!$D$2:$D$36,MATCH(BM$3,Index_CT!$A$2:$A$36,0)))),"X","")</f>
        <v/>
      </c>
      <c r="BN25" s="39" t="str">
        <f>IF(ISNUMBER(SEARCH($A25,INDEX(Index_CT!$D$2:$D$36,MATCH(BN$3,Index_CT!$A$2:$A$36,0)))),"X","")</f>
        <v/>
      </c>
      <c r="BO25" s="39" t="str">
        <f>IF(ISNUMBER(SEARCH($A25,INDEX(Index_CT!$D$2:$D$36,MATCH(BO$3,Index_CT!$A$2:$A$36,0)))),"X","")</f>
        <v/>
      </c>
      <c r="BP25" s="39" t="str">
        <f>IF(ISNUMBER(SEARCH($A25,INDEX(Index_CT!$D$2:$D$36,MATCH(BP$3,Index_CT!$A$2:$A$36,0)))),"X","")</f>
        <v/>
      </c>
      <c r="BQ25" s="39" t="str">
        <f>IF(ISNUMBER(SEARCH($A25,INDEX(Index_CT!$D$2:$D$36,MATCH(BQ$3,Index_CT!$A$2:$A$36,0)))),"X","")</f>
        <v/>
      </c>
      <c r="BR25" s="39" t="str">
        <f>IF(ISNUMBER(SEARCH($A25,INDEX(Index_CT!$D$2:$D$36,MATCH(BR$3,Index_CT!$A$2:$A$36,0)))),"X","")</f>
        <v/>
      </c>
    </row>
    <row r="26" spans="1:70" ht="26.25" customHeight="1" x14ac:dyDescent="0.25">
      <c r="A26" s="33" t="s">
        <v>431</v>
      </c>
      <c r="B26" s="34" t="s">
        <v>537</v>
      </c>
      <c r="C26" s="33" t="s">
        <v>83</v>
      </c>
      <c r="D26" s="33">
        <f t="shared" si="0"/>
        <v>0</v>
      </c>
      <c r="E26" s="39" t="str">
        <f>IF(ISNUMBER(SEARCH($A26,INDEX(Index_CT!$D$2:$D$36,MATCH(E$3,Index_CT!$A$2:$A$36,0)))),"X","")</f>
        <v/>
      </c>
      <c r="F26" s="39" t="str">
        <f>IF(ISNUMBER(SEARCH($A26,INDEX(Index_CT!$D$2:$D$36,MATCH(F$3,Index_CT!$A$2:$A$36,0)))),"X","")</f>
        <v/>
      </c>
      <c r="G26" s="39" t="str">
        <f>IF(ISNUMBER(SEARCH($A26,INDEX(Index_CT!$D$2:$D$36,MATCH(G$3,Index_CT!$A$2:$A$36,0)))),"X","")</f>
        <v/>
      </c>
      <c r="H26" s="39" t="str">
        <f>IF(ISNUMBER(SEARCH($A26,INDEX(Index_CT!$D$2:$D$36,MATCH(H$3,Index_CT!$A$2:$A$36,0)))),"X","")</f>
        <v/>
      </c>
      <c r="I26" s="39" t="str">
        <f>IF(ISNUMBER(SEARCH($A26,INDEX(Index_CT!$D$2:$D$36,MATCH(I$3,Index_CT!$A$2:$A$36,0)))),"X","")</f>
        <v/>
      </c>
      <c r="J26" s="39" t="str">
        <f>IF(ISNUMBER(SEARCH($A26,INDEX(Index_CT!$D$2:$D$36,MATCH(J$3,Index_CT!$A$2:$A$36,0)))),"X","")</f>
        <v/>
      </c>
      <c r="K26" s="39" t="str">
        <f>IF(ISNUMBER(SEARCH($A26,INDEX(Index_CT!$D$2:$D$36,MATCH(K$3,Index_CT!$A$2:$A$36,0)))),"X","")</f>
        <v/>
      </c>
      <c r="L26" s="39" t="str">
        <f>IF(ISNUMBER(SEARCH($A26,INDEX(Index_CT!$D$2:$D$36,MATCH(L$3,Index_CT!$A$2:$A$36,0)))),"X","")</f>
        <v/>
      </c>
      <c r="M26" s="39" t="str">
        <f>IF(ISNUMBER(SEARCH($A26,INDEX(Index_CT!$D$2:$D$36,MATCH(M$3,Index_CT!$A$2:$A$36,0)))),"X","")</f>
        <v/>
      </c>
      <c r="N26" s="39" t="str">
        <f>IF(ISNUMBER(SEARCH($A26,INDEX(Index_CT!$D$2:$D$36,MATCH(N$3,Index_CT!$A$2:$A$36,0)))),"X","")</f>
        <v/>
      </c>
      <c r="O26" s="39" t="str">
        <f>IF(ISNUMBER(SEARCH($A26,INDEX(Index_CT!$D$2:$D$36,MATCH(O$3,Index_CT!$A$2:$A$36,0)))),"X","")</f>
        <v/>
      </c>
      <c r="P26" s="39" t="str">
        <f>IF(ISNUMBER(SEARCH($A26,INDEX(Index_CT!$D$2:$D$36,MATCH(P$3,Index_CT!$A$2:$A$36,0)))),"X","")</f>
        <v/>
      </c>
      <c r="Q26" s="39" t="str">
        <f>IF(ISNUMBER(SEARCH($A26,INDEX(Index_CT!$D$2:$D$36,MATCH(Q$3,Index_CT!$A$2:$A$36,0)))),"X","")</f>
        <v/>
      </c>
      <c r="R26" s="39" t="str">
        <f>IF(ISNUMBER(SEARCH($A26,INDEX(Index_CT!$D$2:$D$36,MATCH(R$3,Index_CT!$A$2:$A$36,0)))),"X","")</f>
        <v/>
      </c>
      <c r="S26" s="39" t="str">
        <f>IF(ISNUMBER(SEARCH($A26,INDEX(Index_CT!$D$2:$D$36,MATCH(S$3,Index_CT!$A$2:$A$36,0)))),"X","")</f>
        <v/>
      </c>
      <c r="T26" s="39" t="str">
        <f>IF(ISNUMBER(SEARCH($A26,INDEX(Index_CT!$D$2:$D$36,MATCH(T$3,Index_CT!$A$2:$A$36,0)))),"X","")</f>
        <v/>
      </c>
      <c r="U26" s="39" t="str">
        <f>IF(ISNUMBER(SEARCH($A26,INDEX(Index_CT!$D$2:$D$36,MATCH(U$3,Index_CT!$A$2:$A$36,0)))),"X","")</f>
        <v/>
      </c>
      <c r="V26" s="39" t="str">
        <f>IF(ISNUMBER(SEARCH($A26,INDEX(Index_CT!$D$2:$D$36,MATCH(V$3,Index_CT!$A$2:$A$36,0)))),"X","")</f>
        <v/>
      </c>
      <c r="W26" s="39" t="str">
        <f>IF(ISNUMBER(SEARCH($A26,INDEX(Index_CT!$D$2:$D$36,MATCH(W$3,Index_CT!$A$2:$A$36,0)))),"X","")</f>
        <v/>
      </c>
      <c r="X26" s="39" t="str">
        <f>IF(ISNUMBER(SEARCH($A26,INDEX(Index_CT!$D$2:$D$36,MATCH(X$3,Index_CT!$A$2:$A$36,0)))),"X","")</f>
        <v/>
      </c>
      <c r="Y26" s="39" t="str">
        <f>IF(ISNUMBER(SEARCH($A26,INDEX(Index_CT!$D$2:$D$36,MATCH(Y$3,Index_CT!$A$2:$A$36,0)))),"X","")</f>
        <v/>
      </c>
      <c r="Z26" s="39" t="str">
        <f>IF(ISNUMBER(SEARCH($A26,INDEX(Index_CT!$D$2:$D$36,MATCH(Z$3,Index_CT!$A$2:$A$36,0)))),"X","")</f>
        <v/>
      </c>
      <c r="AA26" s="39" t="str">
        <f>IF(ISNUMBER(SEARCH($A26,INDEX(Index_CT!$D$2:$D$36,MATCH(AA$3,Index_CT!$A$2:$A$36,0)))),"X","")</f>
        <v/>
      </c>
      <c r="AB26" s="39" t="str">
        <f>IF(ISNUMBER(SEARCH($A26,INDEX(Index_CT!$D$2:$D$36,MATCH(AB$3,Index_CT!$A$2:$A$36,0)))),"X","")</f>
        <v/>
      </c>
      <c r="AC26" s="39" t="str">
        <f>IF(ISNUMBER(SEARCH($A26,INDEX(Index_CT!$D$2:$D$36,MATCH(AC$3,Index_CT!$A$2:$A$36,0)))),"X","")</f>
        <v/>
      </c>
      <c r="AD26" s="39" t="str">
        <f>IF(ISNUMBER(SEARCH($A26,INDEX(Index_CT!$D$2:$D$36,MATCH(AD$3,Index_CT!$A$2:$A$36,0)))),"X","")</f>
        <v/>
      </c>
      <c r="AE26" s="39" t="str">
        <f>IF(ISNUMBER(SEARCH($A26,INDEX(Index_CT!$D$2:$D$36,MATCH(AE$3,Index_CT!$A$2:$A$36,0)))),"X","")</f>
        <v/>
      </c>
      <c r="AF26" s="39" t="str">
        <f>IF(ISNUMBER(SEARCH($A26,INDEX(Index_CT!$D$2:$D$36,MATCH(AF$3,Index_CT!$A$2:$A$36,0)))),"X","")</f>
        <v/>
      </c>
      <c r="AG26" s="39" t="str">
        <f>IF(ISNUMBER(SEARCH($A26,INDEX(Index_CT!$D$2:$D$36,MATCH(AG$3,Index_CT!$A$2:$A$36,0)))),"X","")</f>
        <v/>
      </c>
      <c r="AH26" s="39" t="str">
        <f>IF(ISNUMBER(SEARCH($A26,INDEX(Index_CT!$D$2:$D$36,MATCH(AH$3,Index_CT!$A$2:$A$36,0)))),"X","")</f>
        <v/>
      </c>
      <c r="AI26" s="39" t="str">
        <f>IF(ISNUMBER(SEARCH($A26,INDEX(Index_CT!$D$2:$D$36,MATCH(AI$3,Index_CT!$A$2:$A$36,0)))),"X","")</f>
        <v/>
      </c>
      <c r="AJ26" s="39" t="str">
        <f>IF(ISNUMBER(SEARCH($A26,INDEX(Index_CT!$D$2:$D$36,MATCH(AJ$3,Index_CT!$A$2:$A$36,0)))),"X","")</f>
        <v/>
      </c>
      <c r="AK26" s="39" t="str">
        <f>IF(ISNUMBER(SEARCH($A26,INDEX(Index_CT!$D$2:$D$36,MATCH(AK$3,Index_CT!$A$2:$A$36,0)))),"X","")</f>
        <v/>
      </c>
      <c r="AL26" s="39" t="str">
        <f>IF(ISNUMBER(SEARCH($A26,INDEX(Index_CT!$D$2:$D$36,MATCH(AL$3,Index_CT!$A$2:$A$36,0)))),"X","")</f>
        <v/>
      </c>
      <c r="AM26" s="39" t="str">
        <f>IF(ISNUMBER(SEARCH($A26,INDEX(Index_CT!$D$2:$D$36,MATCH(AM$3,Index_CT!$A$2:$A$36,0)))),"X","")</f>
        <v/>
      </c>
      <c r="AN26" s="39" t="str">
        <f>IF(ISNUMBER(SEARCH($A26,INDEX(Index_CT!$D$2:$D$36,MATCH(AN$3,Index_CT!$A$2:$A$36,0)))),"X","")</f>
        <v/>
      </c>
      <c r="AO26" s="39" t="str">
        <f>IF(ISNUMBER(SEARCH($A26,INDEX(Index_CT!$D$2:$D$36,MATCH(AO$3,Index_CT!$A$2:$A$36,0)))),"X","")</f>
        <v/>
      </c>
      <c r="AP26" s="39" t="str">
        <f>IF(ISNUMBER(SEARCH($A26,INDEX(Index_CT!$D$2:$D$36,MATCH(AP$3,Index_CT!$A$2:$A$36,0)))),"X","")</f>
        <v/>
      </c>
      <c r="AQ26" s="39" t="str">
        <f>IF(ISNUMBER(SEARCH($A26,INDEX(Index_CT!$D$2:$D$36,MATCH(AQ$3,Index_CT!$A$2:$A$36,0)))),"X","")</f>
        <v/>
      </c>
      <c r="AR26" s="39" t="str">
        <f>IF(ISNUMBER(SEARCH($A26,INDEX(Index_CT!$D$2:$D$36,MATCH(AR$3,Index_CT!$A$2:$A$36,0)))),"X","")</f>
        <v/>
      </c>
      <c r="AS26" s="39" t="str">
        <f>IF(ISNUMBER(SEARCH($A26,INDEX(Index_CT!$D$2:$D$36,MATCH(AS$3,Index_CT!$A$2:$A$36,0)))),"X","")</f>
        <v/>
      </c>
      <c r="AT26" s="39" t="str">
        <f>IF(ISNUMBER(SEARCH($A26,INDEX(Index_CT!$D$2:$D$36,MATCH(AT$3,Index_CT!$A$2:$A$36,0)))),"X","")</f>
        <v/>
      </c>
      <c r="AU26" s="39" t="str">
        <f>IF(ISNUMBER(SEARCH($A26,INDEX(Index_CT!$D$2:$D$36,MATCH(AU$3,Index_CT!$A$2:$A$36,0)))),"X","")</f>
        <v/>
      </c>
      <c r="AV26" s="39" t="str">
        <f>IF(ISNUMBER(SEARCH($A26,INDEX(Index_CT!$D$2:$D$36,MATCH(AV$3,Index_CT!$A$2:$A$36,0)))),"X","")</f>
        <v/>
      </c>
      <c r="AW26" s="39" t="str">
        <f>IF(ISNUMBER(SEARCH($A26,INDEX(Index_CT!$D$2:$D$36,MATCH(AW$3,Index_CT!$A$2:$A$36,0)))),"X","")</f>
        <v/>
      </c>
      <c r="AX26" s="39" t="str">
        <f>IF(ISNUMBER(SEARCH($A26,INDEX(Index_CT!$D$2:$D$36,MATCH(AX$3,Index_CT!$A$2:$A$36,0)))),"X","")</f>
        <v/>
      </c>
      <c r="AY26" s="39" t="str">
        <f>IF(ISNUMBER(SEARCH($A26,INDEX(Index_CT!$D$2:$D$36,MATCH(AY$3,Index_CT!$A$2:$A$36,0)))),"X","")</f>
        <v/>
      </c>
      <c r="AZ26" s="39" t="str">
        <f>IF(ISNUMBER(SEARCH($A26,INDEX(Index_CT!$D$2:$D$36,MATCH(AZ$3,Index_CT!$A$2:$A$36,0)))),"X","")</f>
        <v/>
      </c>
      <c r="BA26" s="39" t="str">
        <f>IF(ISNUMBER(SEARCH($A26,INDEX(Index_CT!$D$2:$D$36,MATCH(BA$3,Index_CT!$A$2:$A$36,0)))),"X","")</f>
        <v/>
      </c>
      <c r="BB26" s="39" t="str">
        <f>IF(ISNUMBER(SEARCH($A26,INDEX(Index_CT!$D$2:$D$36,MATCH(BB$3,Index_CT!$A$2:$A$36,0)))),"X","")</f>
        <v/>
      </c>
      <c r="BC26" s="39" t="str">
        <f>IF(ISNUMBER(SEARCH($A26,INDEX(Index_CT!$D$2:$D$36,MATCH(BC$3,Index_CT!$A$2:$A$36,0)))),"X","")</f>
        <v/>
      </c>
      <c r="BD26" s="39" t="str">
        <f>IF(ISNUMBER(SEARCH($A26,INDEX(Index_CT!$D$2:$D$36,MATCH(BD$3,Index_CT!$A$2:$A$36,0)))),"X","")</f>
        <v/>
      </c>
      <c r="BE26" s="39" t="str">
        <f>IF(ISNUMBER(SEARCH($A26,INDEX(Index_CT!$D$2:$D$36,MATCH(BE$3,Index_CT!$A$2:$A$36,0)))),"X","")</f>
        <v/>
      </c>
      <c r="BF26" s="39" t="str">
        <f>IF(ISNUMBER(SEARCH($A26,INDEX(Index_CT!$D$2:$D$36,MATCH(BF$3,Index_CT!$A$2:$A$36,0)))),"X","")</f>
        <v/>
      </c>
      <c r="BG26" s="39" t="str">
        <f>IF(ISNUMBER(SEARCH($A26,INDEX(Index_CT!$D$2:$D$36,MATCH(BG$3,Index_CT!$A$2:$A$36,0)))),"X","")</f>
        <v/>
      </c>
      <c r="BH26" s="39" t="str">
        <f>IF(ISNUMBER(SEARCH($A26,INDEX(Index_CT!$D$2:$D$36,MATCH(BH$3,Index_CT!$A$2:$A$36,0)))),"X","")</f>
        <v/>
      </c>
      <c r="BI26" s="39" t="str">
        <f>IF(ISNUMBER(SEARCH($A26,INDEX(Index_CT!$D$2:$D$36,MATCH(BI$3,Index_CT!$A$2:$A$36,0)))),"X","")</f>
        <v/>
      </c>
      <c r="BJ26" s="39" t="str">
        <f>IF(ISNUMBER(SEARCH($A26,INDEX(Index_CT!$D$2:$D$36,MATCH(BJ$3,Index_CT!$A$2:$A$36,0)))),"X","")</f>
        <v/>
      </c>
      <c r="BK26" s="39" t="str">
        <f>IF(ISNUMBER(SEARCH($A26,INDEX(Index_CT!$D$2:$D$36,MATCH(BK$3,Index_CT!$A$2:$A$36,0)))),"X","")</f>
        <v/>
      </c>
      <c r="BL26" s="39" t="str">
        <f>IF(ISNUMBER(SEARCH($A26,INDEX(Index_CT!$D$2:$D$36,MATCH(BL$3,Index_CT!$A$2:$A$36,0)))),"X","")</f>
        <v/>
      </c>
      <c r="BM26" s="39" t="str">
        <f>IF(ISNUMBER(SEARCH($A26,INDEX(Index_CT!$D$2:$D$36,MATCH(BM$3,Index_CT!$A$2:$A$36,0)))),"X","")</f>
        <v/>
      </c>
      <c r="BN26" s="39" t="str">
        <f>IF(ISNUMBER(SEARCH($A26,INDEX(Index_CT!$D$2:$D$36,MATCH(BN$3,Index_CT!$A$2:$A$36,0)))),"X","")</f>
        <v/>
      </c>
      <c r="BO26" s="39" t="str">
        <f>IF(ISNUMBER(SEARCH($A26,INDEX(Index_CT!$D$2:$D$36,MATCH(BO$3,Index_CT!$A$2:$A$36,0)))),"X","")</f>
        <v/>
      </c>
      <c r="BP26" s="39" t="str">
        <f>IF(ISNUMBER(SEARCH($A26,INDEX(Index_CT!$D$2:$D$36,MATCH(BP$3,Index_CT!$A$2:$A$36,0)))),"X","")</f>
        <v/>
      </c>
      <c r="BQ26" s="39" t="str">
        <f>IF(ISNUMBER(SEARCH($A26,INDEX(Index_CT!$D$2:$D$36,MATCH(BQ$3,Index_CT!$A$2:$A$36,0)))),"X","")</f>
        <v/>
      </c>
      <c r="BR26" s="39" t="str">
        <f>IF(ISNUMBER(SEARCH($A26,INDEX(Index_CT!$D$2:$D$36,MATCH(BR$3,Index_CT!$A$2:$A$36,0)))),"X","")</f>
        <v/>
      </c>
    </row>
    <row r="27" spans="1:70" x14ac:dyDescent="0.25">
      <c r="A27" s="33" t="s">
        <v>433</v>
      </c>
      <c r="B27" s="34" t="s">
        <v>538</v>
      </c>
      <c r="C27" s="33" t="s">
        <v>184</v>
      </c>
      <c r="D27" s="33">
        <f t="shared" si="0"/>
        <v>0</v>
      </c>
      <c r="E27" s="39" t="str">
        <f>IF(ISNUMBER(SEARCH($A27,INDEX(Index_CT!$D$2:$D$36,MATCH(E$3,Index_CT!$A$2:$A$36,0)))),"X","")</f>
        <v/>
      </c>
      <c r="F27" s="39" t="str">
        <f>IF(ISNUMBER(SEARCH($A27,INDEX(Index_CT!$D$2:$D$36,MATCH(F$3,Index_CT!$A$2:$A$36,0)))),"X","")</f>
        <v/>
      </c>
      <c r="G27" s="39" t="str">
        <f>IF(ISNUMBER(SEARCH($A27,INDEX(Index_CT!$D$2:$D$36,MATCH(G$3,Index_CT!$A$2:$A$36,0)))),"X","")</f>
        <v/>
      </c>
      <c r="H27" s="39" t="str">
        <f>IF(ISNUMBER(SEARCH($A27,INDEX(Index_CT!$D$2:$D$36,MATCH(H$3,Index_CT!$A$2:$A$36,0)))),"X","")</f>
        <v/>
      </c>
      <c r="I27" s="39" t="str">
        <f>IF(ISNUMBER(SEARCH($A27,INDEX(Index_CT!$D$2:$D$36,MATCH(I$3,Index_CT!$A$2:$A$36,0)))),"X","")</f>
        <v/>
      </c>
      <c r="J27" s="39" t="str">
        <f>IF(ISNUMBER(SEARCH($A27,INDEX(Index_CT!$D$2:$D$36,MATCH(J$3,Index_CT!$A$2:$A$36,0)))),"X","")</f>
        <v/>
      </c>
      <c r="K27" s="39" t="str">
        <f>IF(ISNUMBER(SEARCH($A27,INDEX(Index_CT!$D$2:$D$36,MATCH(K$3,Index_CT!$A$2:$A$36,0)))),"X","")</f>
        <v/>
      </c>
      <c r="L27" s="39" t="str">
        <f>IF(ISNUMBER(SEARCH($A27,INDEX(Index_CT!$D$2:$D$36,MATCH(L$3,Index_CT!$A$2:$A$36,0)))),"X","")</f>
        <v/>
      </c>
      <c r="M27" s="39" t="str">
        <f>IF(ISNUMBER(SEARCH($A27,INDEX(Index_CT!$D$2:$D$36,MATCH(M$3,Index_CT!$A$2:$A$36,0)))),"X","")</f>
        <v/>
      </c>
      <c r="N27" s="39" t="str">
        <f>IF(ISNUMBER(SEARCH($A27,INDEX(Index_CT!$D$2:$D$36,MATCH(N$3,Index_CT!$A$2:$A$36,0)))),"X","")</f>
        <v/>
      </c>
      <c r="O27" s="39" t="str">
        <f>IF(ISNUMBER(SEARCH($A27,INDEX(Index_CT!$D$2:$D$36,MATCH(O$3,Index_CT!$A$2:$A$36,0)))),"X","")</f>
        <v/>
      </c>
      <c r="P27" s="39" t="str">
        <f>IF(ISNUMBER(SEARCH($A27,INDEX(Index_CT!$D$2:$D$36,MATCH(P$3,Index_CT!$A$2:$A$36,0)))),"X","")</f>
        <v/>
      </c>
      <c r="Q27" s="39" t="str">
        <f>IF(ISNUMBER(SEARCH($A27,INDEX(Index_CT!$D$2:$D$36,MATCH(Q$3,Index_CT!$A$2:$A$36,0)))),"X","")</f>
        <v/>
      </c>
      <c r="R27" s="39" t="str">
        <f>IF(ISNUMBER(SEARCH($A27,INDEX(Index_CT!$D$2:$D$36,MATCH(R$3,Index_CT!$A$2:$A$36,0)))),"X","")</f>
        <v/>
      </c>
      <c r="S27" s="39" t="str">
        <f>IF(ISNUMBER(SEARCH($A27,INDEX(Index_CT!$D$2:$D$36,MATCH(S$3,Index_CT!$A$2:$A$36,0)))),"X","")</f>
        <v/>
      </c>
      <c r="T27" s="39" t="str">
        <f>IF(ISNUMBER(SEARCH($A27,INDEX(Index_CT!$D$2:$D$36,MATCH(T$3,Index_CT!$A$2:$A$36,0)))),"X","")</f>
        <v/>
      </c>
      <c r="U27" s="39" t="str">
        <f>IF(ISNUMBER(SEARCH($A27,INDEX(Index_CT!$D$2:$D$36,MATCH(U$3,Index_CT!$A$2:$A$36,0)))),"X","")</f>
        <v/>
      </c>
      <c r="V27" s="39" t="str">
        <f>IF(ISNUMBER(SEARCH($A27,INDEX(Index_CT!$D$2:$D$36,MATCH(V$3,Index_CT!$A$2:$A$36,0)))),"X","")</f>
        <v/>
      </c>
      <c r="W27" s="39" t="str">
        <f>IF(ISNUMBER(SEARCH($A27,INDEX(Index_CT!$D$2:$D$36,MATCH(W$3,Index_CT!$A$2:$A$36,0)))),"X","")</f>
        <v/>
      </c>
      <c r="X27" s="39" t="str">
        <f>IF(ISNUMBER(SEARCH($A27,INDEX(Index_CT!$D$2:$D$36,MATCH(X$3,Index_CT!$A$2:$A$36,0)))),"X","")</f>
        <v/>
      </c>
      <c r="Y27" s="39" t="str">
        <f>IF(ISNUMBER(SEARCH($A27,INDEX(Index_CT!$D$2:$D$36,MATCH(Y$3,Index_CT!$A$2:$A$36,0)))),"X","")</f>
        <v/>
      </c>
      <c r="Z27" s="39" t="str">
        <f>IF(ISNUMBER(SEARCH($A27,INDEX(Index_CT!$D$2:$D$36,MATCH(Z$3,Index_CT!$A$2:$A$36,0)))),"X","")</f>
        <v/>
      </c>
      <c r="AA27" s="39" t="str">
        <f>IF(ISNUMBER(SEARCH($A27,INDEX(Index_CT!$D$2:$D$36,MATCH(AA$3,Index_CT!$A$2:$A$36,0)))),"X","")</f>
        <v/>
      </c>
      <c r="AB27" s="39" t="str">
        <f>IF(ISNUMBER(SEARCH($A27,INDEX(Index_CT!$D$2:$D$36,MATCH(AB$3,Index_CT!$A$2:$A$36,0)))),"X","")</f>
        <v/>
      </c>
      <c r="AC27" s="39" t="str">
        <f>IF(ISNUMBER(SEARCH($A27,INDEX(Index_CT!$D$2:$D$36,MATCH(AC$3,Index_CT!$A$2:$A$36,0)))),"X","")</f>
        <v/>
      </c>
      <c r="AD27" s="39" t="str">
        <f>IF(ISNUMBER(SEARCH($A27,INDEX(Index_CT!$D$2:$D$36,MATCH(AD$3,Index_CT!$A$2:$A$36,0)))),"X","")</f>
        <v/>
      </c>
      <c r="AE27" s="39" t="str">
        <f>IF(ISNUMBER(SEARCH($A27,INDEX(Index_CT!$D$2:$D$36,MATCH(AE$3,Index_CT!$A$2:$A$36,0)))),"X","")</f>
        <v/>
      </c>
      <c r="AF27" s="39" t="str">
        <f>IF(ISNUMBER(SEARCH($A27,INDEX(Index_CT!$D$2:$D$36,MATCH(AF$3,Index_CT!$A$2:$A$36,0)))),"X","")</f>
        <v/>
      </c>
      <c r="AG27" s="39" t="str">
        <f>IF(ISNUMBER(SEARCH($A27,INDEX(Index_CT!$D$2:$D$36,MATCH(AG$3,Index_CT!$A$2:$A$36,0)))),"X","")</f>
        <v/>
      </c>
      <c r="AH27" s="39" t="str">
        <f>IF(ISNUMBER(SEARCH($A27,INDEX(Index_CT!$D$2:$D$36,MATCH(AH$3,Index_CT!$A$2:$A$36,0)))),"X","")</f>
        <v/>
      </c>
      <c r="AI27" s="39" t="str">
        <f>IF(ISNUMBER(SEARCH($A27,INDEX(Index_CT!$D$2:$D$36,MATCH(AI$3,Index_CT!$A$2:$A$36,0)))),"X","")</f>
        <v/>
      </c>
      <c r="AJ27" s="39" t="str">
        <f>IF(ISNUMBER(SEARCH($A27,INDEX(Index_CT!$D$2:$D$36,MATCH(AJ$3,Index_CT!$A$2:$A$36,0)))),"X","")</f>
        <v/>
      </c>
      <c r="AK27" s="39" t="str">
        <f>IF(ISNUMBER(SEARCH($A27,INDEX(Index_CT!$D$2:$D$36,MATCH(AK$3,Index_CT!$A$2:$A$36,0)))),"X","")</f>
        <v/>
      </c>
      <c r="AL27" s="39" t="str">
        <f>IF(ISNUMBER(SEARCH($A27,INDEX(Index_CT!$D$2:$D$36,MATCH(AL$3,Index_CT!$A$2:$A$36,0)))),"X","")</f>
        <v/>
      </c>
      <c r="AM27" s="39" t="str">
        <f>IF(ISNUMBER(SEARCH($A27,INDEX(Index_CT!$D$2:$D$36,MATCH(AM$3,Index_CT!$A$2:$A$36,0)))),"X","")</f>
        <v/>
      </c>
      <c r="AN27" s="39" t="str">
        <f>IF(ISNUMBER(SEARCH($A27,INDEX(Index_CT!$D$2:$D$36,MATCH(AN$3,Index_CT!$A$2:$A$36,0)))),"X","")</f>
        <v/>
      </c>
      <c r="AO27" s="39" t="str">
        <f>IF(ISNUMBER(SEARCH($A27,INDEX(Index_CT!$D$2:$D$36,MATCH(AO$3,Index_CT!$A$2:$A$36,0)))),"X","")</f>
        <v/>
      </c>
      <c r="AP27" s="39" t="str">
        <f>IF(ISNUMBER(SEARCH($A27,INDEX(Index_CT!$D$2:$D$36,MATCH(AP$3,Index_CT!$A$2:$A$36,0)))),"X","")</f>
        <v/>
      </c>
      <c r="AQ27" s="39" t="str">
        <f>IF(ISNUMBER(SEARCH($A27,INDEX(Index_CT!$D$2:$D$36,MATCH(AQ$3,Index_CT!$A$2:$A$36,0)))),"X","")</f>
        <v/>
      </c>
      <c r="AR27" s="39" t="str">
        <f>IF(ISNUMBER(SEARCH($A27,INDEX(Index_CT!$D$2:$D$36,MATCH(AR$3,Index_CT!$A$2:$A$36,0)))),"X","")</f>
        <v/>
      </c>
      <c r="AS27" s="39" t="str">
        <f>IF(ISNUMBER(SEARCH($A27,INDEX(Index_CT!$D$2:$D$36,MATCH(AS$3,Index_CT!$A$2:$A$36,0)))),"X","")</f>
        <v/>
      </c>
      <c r="AT27" s="39" t="str">
        <f>IF(ISNUMBER(SEARCH($A27,INDEX(Index_CT!$D$2:$D$36,MATCH(AT$3,Index_CT!$A$2:$A$36,0)))),"X","")</f>
        <v/>
      </c>
      <c r="AU27" s="39" t="str">
        <f>IF(ISNUMBER(SEARCH($A27,INDEX(Index_CT!$D$2:$D$36,MATCH(AU$3,Index_CT!$A$2:$A$36,0)))),"X","")</f>
        <v/>
      </c>
      <c r="AV27" s="39" t="str">
        <f>IF(ISNUMBER(SEARCH($A27,INDEX(Index_CT!$D$2:$D$36,MATCH(AV$3,Index_CT!$A$2:$A$36,0)))),"X","")</f>
        <v/>
      </c>
      <c r="AW27" s="39" t="str">
        <f>IF(ISNUMBER(SEARCH($A27,INDEX(Index_CT!$D$2:$D$36,MATCH(AW$3,Index_CT!$A$2:$A$36,0)))),"X","")</f>
        <v/>
      </c>
      <c r="AX27" s="39" t="str">
        <f>IF(ISNUMBER(SEARCH($A27,INDEX(Index_CT!$D$2:$D$36,MATCH(AX$3,Index_CT!$A$2:$A$36,0)))),"X","")</f>
        <v/>
      </c>
      <c r="AY27" s="39" t="str">
        <f>IF(ISNUMBER(SEARCH($A27,INDEX(Index_CT!$D$2:$D$36,MATCH(AY$3,Index_CT!$A$2:$A$36,0)))),"X","")</f>
        <v/>
      </c>
      <c r="AZ27" s="39" t="str">
        <f>IF(ISNUMBER(SEARCH($A27,INDEX(Index_CT!$D$2:$D$36,MATCH(AZ$3,Index_CT!$A$2:$A$36,0)))),"X","")</f>
        <v/>
      </c>
      <c r="BA27" s="39" t="str">
        <f>IF(ISNUMBER(SEARCH($A27,INDEX(Index_CT!$D$2:$D$36,MATCH(BA$3,Index_CT!$A$2:$A$36,0)))),"X","")</f>
        <v/>
      </c>
      <c r="BB27" s="39" t="str">
        <f>IF(ISNUMBER(SEARCH($A27,INDEX(Index_CT!$D$2:$D$36,MATCH(BB$3,Index_CT!$A$2:$A$36,0)))),"X","")</f>
        <v/>
      </c>
      <c r="BC27" s="39" t="str">
        <f>IF(ISNUMBER(SEARCH($A27,INDEX(Index_CT!$D$2:$D$36,MATCH(BC$3,Index_CT!$A$2:$A$36,0)))),"X","")</f>
        <v/>
      </c>
      <c r="BD27" s="39" t="str">
        <f>IF(ISNUMBER(SEARCH($A27,INDEX(Index_CT!$D$2:$D$36,MATCH(BD$3,Index_CT!$A$2:$A$36,0)))),"X","")</f>
        <v/>
      </c>
      <c r="BE27" s="39" t="str">
        <f>IF(ISNUMBER(SEARCH($A27,INDEX(Index_CT!$D$2:$D$36,MATCH(BE$3,Index_CT!$A$2:$A$36,0)))),"X","")</f>
        <v/>
      </c>
      <c r="BF27" s="39" t="str">
        <f>IF(ISNUMBER(SEARCH($A27,INDEX(Index_CT!$D$2:$D$36,MATCH(BF$3,Index_CT!$A$2:$A$36,0)))),"X","")</f>
        <v/>
      </c>
      <c r="BG27" s="39" t="str">
        <f>IF(ISNUMBER(SEARCH($A27,INDEX(Index_CT!$D$2:$D$36,MATCH(BG$3,Index_CT!$A$2:$A$36,0)))),"X","")</f>
        <v/>
      </c>
      <c r="BH27" s="39" t="str">
        <f>IF(ISNUMBER(SEARCH($A27,INDEX(Index_CT!$D$2:$D$36,MATCH(BH$3,Index_CT!$A$2:$A$36,0)))),"X","")</f>
        <v/>
      </c>
      <c r="BI27" s="39" t="str">
        <f>IF(ISNUMBER(SEARCH($A27,INDEX(Index_CT!$D$2:$D$36,MATCH(BI$3,Index_CT!$A$2:$A$36,0)))),"X","")</f>
        <v/>
      </c>
      <c r="BJ27" s="39" t="str">
        <f>IF(ISNUMBER(SEARCH($A27,INDEX(Index_CT!$D$2:$D$36,MATCH(BJ$3,Index_CT!$A$2:$A$36,0)))),"X","")</f>
        <v/>
      </c>
      <c r="BK27" s="39" t="str">
        <f>IF(ISNUMBER(SEARCH($A27,INDEX(Index_CT!$D$2:$D$36,MATCH(BK$3,Index_CT!$A$2:$A$36,0)))),"X","")</f>
        <v/>
      </c>
      <c r="BL27" s="39" t="str">
        <f>IF(ISNUMBER(SEARCH($A27,INDEX(Index_CT!$D$2:$D$36,MATCH(BL$3,Index_CT!$A$2:$A$36,0)))),"X","")</f>
        <v/>
      </c>
      <c r="BM27" s="39" t="str">
        <f>IF(ISNUMBER(SEARCH($A27,INDEX(Index_CT!$D$2:$D$36,MATCH(BM$3,Index_CT!$A$2:$A$36,0)))),"X","")</f>
        <v/>
      </c>
      <c r="BN27" s="39" t="str">
        <f>IF(ISNUMBER(SEARCH($A27,INDEX(Index_CT!$D$2:$D$36,MATCH(BN$3,Index_CT!$A$2:$A$36,0)))),"X","")</f>
        <v/>
      </c>
      <c r="BO27" s="39" t="str">
        <f>IF(ISNUMBER(SEARCH($A27,INDEX(Index_CT!$D$2:$D$36,MATCH(BO$3,Index_CT!$A$2:$A$36,0)))),"X","")</f>
        <v/>
      </c>
      <c r="BP27" s="39" t="str">
        <f>IF(ISNUMBER(SEARCH($A27,INDEX(Index_CT!$D$2:$D$36,MATCH(BP$3,Index_CT!$A$2:$A$36,0)))),"X","")</f>
        <v/>
      </c>
      <c r="BQ27" s="39" t="str">
        <f>IF(ISNUMBER(SEARCH($A27,INDEX(Index_CT!$D$2:$D$36,MATCH(BQ$3,Index_CT!$A$2:$A$36,0)))),"X","")</f>
        <v/>
      </c>
      <c r="BR27" s="39" t="str">
        <f>IF(ISNUMBER(SEARCH($A27,INDEX(Index_CT!$D$2:$D$36,MATCH(BR$3,Index_CT!$A$2:$A$36,0)))),"X","")</f>
        <v/>
      </c>
    </row>
    <row r="28" spans="1:70" ht="26.25" customHeight="1" x14ac:dyDescent="0.25">
      <c r="A28" s="33" t="s">
        <v>436</v>
      </c>
      <c r="B28" s="34" t="s">
        <v>539</v>
      </c>
      <c r="C28" s="33" t="s">
        <v>83</v>
      </c>
      <c r="D28" s="33">
        <f t="shared" si="0"/>
        <v>0</v>
      </c>
      <c r="E28" s="39" t="str">
        <f>IF(ISNUMBER(SEARCH($A28,INDEX(Index_CT!$D$2:$D$36,MATCH(E$3,Index_CT!$A$2:$A$36,0)))),"X","")</f>
        <v/>
      </c>
      <c r="F28" s="39" t="str">
        <f>IF(ISNUMBER(SEARCH($A28,INDEX(Index_CT!$D$2:$D$36,MATCH(F$3,Index_CT!$A$2:$A$36,0)))),"X","")</f>
        <v/>
      </c>
      <c r="G28" s="39" t="str">
        <f>IF(ISNUMBER(SEARCH($A28,INDEX(Index_CT!$D$2:$D$36,MATCH(G$3,Index_CT!$A$2:$A$36,0)))),"X","")</f>
        <v/>
      </c>
      <c r="H28" s="39" t="str">
        <f>IF(ISNUMBER(SEARCH($A28,INDEX(Index_CT!$D$2:$D$36,MATCH(H$3,Index_CT!$A$2:$A$36,0)))),"X","")</f>
        <v/>
      </c>
      <c r="I28" s="39" t="str">
        <f>IF(ISNUMBER(SEARCH($A28,INDEX(Index_CT!$D$2:$D$36,MATCH(I$3,Index_CT!$A$2:$A$36,0)))),"X","")</f>
        <v/>
      </c>
      <c r="J28" s="39" t="str">
        <f>IF(ISNUMBER(SEARCH($A28,INDEX(Index_CT!$D$2:$D$36,MATCH(J$3,Index_CT!$A$2:$A$36,0)))),"X","")</f>
        <v/>
      </c>
      <c r="K28" s="39" t="str">
        <f>IF(ISNUMBER(SEARCH($A28,INDEX(Index_CT!$D$2:$D$36,MATCH(K$3,Index_CT!$A$2:$A$36,0)))),"X","")</f>
        <v/>
      </c>
      <c r="L28" s="39" t="str">
        <f>IF(ISNUMBER(SEARCH($A28,INDEX(Index_CT!$D$2:$D$36,MATCH(L$3,Index_CT!$A$2:$A$36,0)))),"X","")</f>
        <v/>
      </c>
      <c r="M28" s="39" t="str">
        <f>IF(ISNUMBER(SEARCH($A28,INDEX(Index_CT!$D$2:$D$36,MATCH(M$3,Index_CT!$A$2:$A$36,0)))),"X","")</f>
        <v/>
      </c>
      <c r="N28" s="39" t="str">
        <f>IF(ISNUMBER(SEARCH($A28,INDEX(Index_CT!$D$2:$D$36,MATCH(N$3,Index_CT!$A$2:$A$36,0)))),"X","")</f>
        <v/>
      </c>
      <c r="O28" s="39" t="str">
        <f>IF(ISNUMBER(SEARCH($A28,INDEX(Index_CT!$D$2:$D$36,MATCH(O$3,Index_CT!$A$2:$A$36,0)))),"X","")</f>
        <v/>
      </c>
      <c r="P28" s="39" t="str">
        <f>IF(ISNUMBER(SEARCH($A28,INDEX(Index_CT!$D$2:$D$36,MATCH(P$3,Index_CT!$A$2:$A$36,0)))),"X","")</f>
        <v/>
      </c>
      <c r="Q28" s="39" t="str">
        <f>IF(ISNUMBER(SEARCH($A28,INDEX(Index_CT!$D$2:$D$36,MATCH(Q$3,Index_CT!$A$2:$A$36,0)))),"X","")</f>
        <v/>
      </c>
      <c r="R28" s="39" t="str">
        <f>IF(ISNUMBER(SEARCH($A28,INDEX(Index_CT!$D$2:$D$36,MATCH(R$3,Index_CT!$A$2:$A$36,0)))),"X","")</f>
        <v/>
      </c>
      <c r="S28" s="39" t="str">
        <f>IF(ISNUMBER(SEARCH($A28,INDEX(Index_CT!$D$2:$D$36,MATCH(S$3,Index_CT!$A$2:$A$36,0)))),"X","")</f>
        <v/>
      </c>
      <c r="T28" s="39" t="str">
        <f>IF(ISNUMBER(SEARCH($A28,INDEX(Index_CT!$D$2:$D$36,MATCH(T$3,Index_CT!$A$2:$A$36,0)))),"X","")</f>
        <v/>
      </c>
      <c r="U28" s="39" t="str">
        <f>IF(ISNUMBER(SEARCH($A28,INDEX(Index_CT!$D$2:$D$36,MATCH(U$3,Index_CT!$A$2:$A$36,0)))),"X","")</f>
        <v/>
      </c>
      <c r="V28" s="39" t="str">
        <f>IF(ISNUMBER(SEARCH($A28,INDEX(Index_CT!$D$2:$D$36,MATCH(V$3,Index_CT!$A$2:$A$36,0)))),"X","")</f>
        <v/>
      </c>
      <c r="W28" s="39" t="str">
        <f>IF(ISNUMBER(SEARCH($A28,INDEX(Index_CT!$D$2:$D$36,MATCH(W$3,Index_CT!$A$2:$A$36,0)))),"X","")</f>
        <v/>
      </c>
      <c r="X28" s="39" t="str">
        <f>IF(ISNUMBER(SEARCH($A28,INDEX(Index_CT!$D$2:$D$36,MATCH(X$3,Index_CT!$A$2:$A$36,0)))),"X","")</f>
        <v/>
      </c>
      <c r="Y28" s="39" t="str">
        <f>IF(ISNUMBER(SEARCH($A28,INDEX(Index_CT!$D$2:$D$36,MATCH(Y$3,Index_CT!$A$2:$A$36,0)))),"X","")</f>
        <v/>
      </c>
      <c r="Z28" s="39" t="str">
        <f>IF(ISNUMBER(SEARCH($A28,INDEX(Index_CT!$D$2:$D$36,MATCH(Z$3,Index_CT!$A$2:$A$36,0)))),"X","")</f>
        <v/>
      </c>
      <c r="AA28" s="39" t="str">
        <f>IF(ISNUMBER(SEARCH($A28,INDEX(Index_CT!$D$2:$D$36,MATCH(AA$3,Index_CT!$A$2:$A$36,0)))),"X","")</f>
        <v/>
      </c>
      <c r="AB28" s="39" t="str">
        <f>IF(ISNUMBER(SEARCH($A28,INDEX(Index_CT!$D$2:$D$36,MATCH(AB$3,Index_CT!$A$2:$A$36,0)))),"X","")</f>
        <v/>
      </c>
      <c r="AC28" s="39" t="str">
        <f>IF(ISNUMBER(SEARCH($A28,INDEX(Index_CT!$D$2:$D$36,MATCH(AC$3,Index_CT!$A$2:$A$36,0)))),"X","")</f>
        <v/>
      </c>
      <c r="AD28" s="39" t="str">
        <f>IF(ISNUMBER(SEARCH($A28,INDEX(Index_CT!$D$2:$D$36,MATCH(AD$3,Index_CT!$A$2:$A$36,0)))),"X","")</f>
        <v/>
      </c>
      <c r="AE28" s="39" t="str">
        <f>IF(ISNUMBER(SEARCH($A28,INDEX(Index_CT!$D$2:$D$36,MATCH(AE$3,Index_CT!$A$2:$A$36,0)))),"X","")</f>
        <v/>
      </c>
      <c r="AF28" s="39" t="str">
        <f>IF(ISNUMBER(SEARCH($A28,INDEX(Index_CT!$D$2:$D$36,MATCH(AF$3,Index_CT!$A$2:$A$36,0)))),"X","")</f>
        <v/>
      </c>
      <c r="AG28" s="39" t="str">
        <f>IF(ISNUMBER(SEARCH($A28,INDEX(Index_CT!$D$2:$D$36,MATCH(AG$3,Index_CT!$A$2:$A$36,0)))),"X","")</f>
        <v/>
      </c>
      <c r="AH28" s="39" t="str">
        <f>IF(ISNUMBER(SEARCH($A28,INDEX(Index_CT!$D$2:$D$36,MATCH(AH$3,Index_CT!$A$2:$A$36,0)))),"X","")</f>
        <v/>
      </c>
      <c r="AI28" s="39" t="str">
        <f>IF(ISNUMBER(SEARCH($A28,INDEX(Index_CT!$D$2:$D$36,MATCH(AI$3,Index_CT!$A$2:$A$36,0)))),"X","")</f>
        <v/>
      </c>
      <c r="AJ28" s="39" t="str">
        <f>IF(ISNUMBER(SEARCH($A28,INDEX(Index_CT!$D$2:$D$36,MATCH(AJ$3,Index_CT!$A$2:$A$36,0)))),"X","")</f>
        <v/>
      </c>
      <c r="AK28" s="39" t="str">
        <f>IF(ISNUMBER(SEARCH($A28,INDEX(Index_CT!$D$2:$D$36,MATCH(AK$3,Index_CT!$A$2:$A$36,0)))),"X","")</f>
        <v/>
      </c>
      <c r="AL28" s="39" t="str">
        <f>IF(ISNUMBER(SEARCH($A28,INDEX(Index_CT!$D$2:$D$36,MATCH(AL$3,Index_CT!$A$2:$A$36,0)))),"X","")</f>
        <v/>
      </c>
      <c r="AM28" s="39" t="str">
        <f>IF(ISNUMBER(SEARCH($A28,INDEX(Index_CT!$D$2:$D$36,MATCH(AM$3,Index_CT!$A$2:$A$36,0)))),"X","")</f>
        <v/>
      </c>
      <c r="AN28" s="39" t="str">
        <f>IF(ISNUMBER(SEARCH($A28,INDEX(Index_CT!$D$2:$D$36,MATCH(AN$3,Index_CT!$A$2:$A$36,0)))),"X","")</f>
        <v/>
      </c>
      <c r="AO28" s="39" t="str">
        <f>IF(ISNUMBER(SEARCH($A28,INDEX(Index_CT!$D$2:$D$36,MATCH(AO$3,Index_CT!$A$2:$A$36,0)))),"X","")</f>
        <v/>
      </c>
      <c r="AP28" s="39" t="str">
        <f>IF(ISNUMBER(SEARCH($A28,INDEX(Index_CT!$D$2:$D$36,MATCH(AP$3,Index_CT!$A$2:$A$36,0)))),"X","")</f>
        <v/>
      </c>
      <c r="AQ28" s="39" t="str">
        <f>IF(ISNUMBER(SEARCH($A28,INDEX(Index_CT!$D$2:$D$36,MATCH(AQ$3,Index_CT!$A$2:$A$36,0)))),"X","")</f>
        <v/>
      </c>
      <c r="AR28" s="39" t="str">
        <f>IF(ISNUMBER(SEARCH($A28,INDEX(Index_CT!$D$2:$D$36,MATCH(AR$3,Index_CT!$A$2:$A$36,0)))),"X","")</f>
        <v/>
      </c>
      <c r="AS28" s="39" t="str">
        <f>IF(ISNUMBER(SEARCH($A28,INDEX(Index_CT!$D$2:$D$36,MATCH(AS$3,Index_CT!$A$2:$A$36,0)))),"X","")</f>
        <v/>
      </c>
      <c r="AT28" s="39" t="str">
        <f>IF(ISNUMBER(SEARCH($A28,INDEX(Index_CT!$D$2:$D$36,MATCH(AT$3,Index_CT!$A$2:$A$36,0)))),"X","")</f>
        <v/>
      </c>
      <c r="AU28" s="39" t="str">
        <f>IF(ISNUMBER(SEARCH($A28,INDEX(Index_CT!$D$2:$D$36,MATCH(AU$3,Index_CT!$A$2:$A$36,0)))),"X","")</f>
        <v/>
      </c>
      <c r="AV28" s="39" t="str">
        <f>IF(ISNUMBER(SEARCH($A28,INDEX(Index_CT!$D$2:$D$36,MATCH(AV$3,Index_CT!$A$2:$A$36,0)))),"X","")</f>
        <v/>
      </c>
      <c r="AW28" s="39" t="str">
        <f>IF(ISNUMBER(SEARCH($A28,INDEX(Index_CT!$D$2:$D$36,MATCH(AW$3,Index_CT!$A$2:$A$36,0)))),"X","")</f>
        <v/>
      </c>
      <c r="AX28" s="39" t="str">
        <f>IF(ISNUMBER(SEARCH($A28,INDEX(Index_CT!$D$2:$D$36,MATCH(AX$3,Index_CT!$A$2:$A$36,0)))),"X","")</f>
        <v/>
      </c>
      <c r="AY28" s="39" t="str">
        <f>IF(ISNUMBER(SEARCH($A28,INDEX(Index_CT!$D$2:$D$36,MATCH(AY$3,Index_CT!$A$2:$A$36,0)))),"X","")</f>
        <v/>
      </c>
      <c r="AZ28" s="39" t="str">
        <f>IF(ISNUMBER(SEARCH($A28,INDEX(Index_CT!$D$2:$D$36,MATCH(AZ$3,Index_CT!$A$2:$A$36,0)))),"X","")</f>
        <v/>
      </c>
      <c r="BA28" s="39" t="str">
        <f>IF(ISNUMBER(SEARCH($A28,INDEX(Index_CT!$D$2:$D$36,MATCH(BA$3,Index_CT!$A$2:$A$36,0)))),"X","")</f>
        <v/>
      </c>
      <c r="BB28" s="39" t="str">
        <f>IF(ISNUMBER(SEARCH($A28,INDEX(Index_CT!$D$2:$D$36,MATCH(BB$3,Index_CT!$A$2:$A$36,0)))),"X","")</f>
        <v/>
      </c>
      <c r="BC28" s="39" t="str">
        <f>IF(ISNUMBER(SEARCH($A28,INDEX(Index_CT!$D$2:$D$36,MATCH(BC$3,Index_CT!$A$2:$A$36,0)))),"X","")</f>
        <v/>
      </c>
      <c r="BD28" s="39" t="str">
        <f>IF(ISNUMBER(SEARCH($A28,INDEX(Index_CT!$D$2:$D$36,MATCH(BD$3,Index_CT!$A$2:$A$36,0)))),"X","")</f>
        <v/>
      </c>
      <c r="BE28" s="39" t="str">
        <f>IF(ISNUMBER(SEARCH($A28,INDEX(Index_CT!$D$2:$D$36,MATCH(BE$3,Index_CT!$A$2:$A$36,0)))),"X","")</f>
        <v/>
      </c>
      <c r="BF28" s="39" t="str">
        <f>IF(ISNUMBER(SEARCH($A28,INDEX(Index_CT!$D$2:$D$36,MATCH(BF$3,Index_CT!$A$2:$A$36,0)))),"X","")</f>
        <v/>
      </c>
      <c r="BG28" s="39" t="str">
        <f>IF(ISNUMBER(SEARCH($A28,INDEX(Index_CT!$D$2:$D$36,MATCH(BG$3,Index_CT!$A$2:$A$36,0)))),"X","")</f>
        <v/>
      </c>
      <c r="BH28" s="39" t="str">
        <f>IF(ISNUMBER(SEARCH($A28,INDEX(Index_CT!$D$2:$D$36,MATCH(BH$3,Index_CT!$A$2:$A$36,0)))),"X","")</f>
        <v/>
      </c>
      <c r="BI28" s="39" t="str">
        <f>IF(ISNUMBER(SEARCH($A28,INDEX(Index_CT!$D$2:$D$36,MATCH(BI$3,Index_CT!$A$2:$A$36,0)))),"X","")</f>
        <v/>
      </c>
      <c r="BJ28" s="39" t="str">
        <f>IF(ISNUMBER(SEARCH($A28,INDEX(Index_CT!$D$2:$D$36,MATCH(BJ$3,Index_CT!$A$2:$A$36,0)))),"X","")</f>
        <v/>
      </c>
      <c r="BK28" s="39" t="str">
        <f>IF(ISNUMBER(SEARCH($A28,INDEX(Index_CT!$D$2:$D$36,MATCH(BK$3,Index_CT!$A$2:$A$36,0)))),"X","")</f>
        <v/>
      </c>
      <c r="BL28" s="39" t="str">
        <f>IF(ISNUMBER(SEARCH($A28,INDEX(Index_CT!$D$2:$D$36,MATCH(BL$3,Index_CT!$A$2:$A$36,0)))),"X","")</f>
        <v/>
      </c>
      <c r="BM28" s="39" t="str">
        <f>IF(ISNUMBER(SEARCH($A28,INDEX(Index_CT!$D$2:$D$36,MATCH(BM$3,Index_CT!$A$2:$A$36,0)))),"X","")</f>
        <v/>
      </c>
      <c r="BN28" s="39" t="str">
        <f>IF(ISNUMBER(SEARCH($A28,INDEX(Index_CT!$D$2:$D$36,MATCH(BN$3,Index_CT!$A$2:$A$36,0)))),"X","")</f>
        <v/>
      </c>
      <c r="BO28" s="39" t="str">
        <f>IF(ISNUMBER(SEARCH($A28,INDEX(Index_CT!$D$2:$D$36,MATCH(BO$3,Index_CT!$A$2:$A$36,0)))),"X","")</f>
        <v/>
      </c>
      <c r="BP28" s="39" t="str">
        <f>IF(ISNUMBER(SEARCH($A28,INDEX(Index_CT!$D$2:$D$36,MATCH(BP$3,Index_CT!$A$2:$A$36,0)))),"X","")</f>
        <v/>
      </c>
      <c r="BQ28" s="39" t="str">
        <f>IF(ISNUMBER(SEARCH($A28,INDEX(Index_CT!$D$2:$D$36,MATCH(BQ$3,Index_CT!$A$2:$A$36,0)))),"X","")</f>
        <v/>
      </c>
      <c r="BR28" s="39" t="str">
        <f>IF(ISNUMBER(SEARCH($A28,INDEX(Index_CT!$D$2:$D$36,MATCH(BR$3,Index_CT!$A$2:$A$36,0)))),"X","")</f>
        <v/>
      </c>
    </row>
    <row r="29" spans="1:70" x14ac:dyDescent="0.25">
      <c r="A29" s="33" t="s">
        <v>439</v>
      </c>
      <c r="B29" s="34" t="s">
        <v>540</v>
      </c>
      <c r="C29" s="33" t="s">
        <v>53</v>
      </c>
      <c r="D29" s="33">
        <f t="shared" si="0"/>
        <v>0</v>
      </c>
      <c r="E29" s="39" t="str">
        <f>IF(ISNUMBER(SEARCH($A29,INDEX(Index_CT!$D$2:$D$36,MATCH(E$3,Index_CT!$A$2:$A$36,0)))),"X","")</f>
        <v/>
      </c>
      <c r="F29" s="39" t="str">
        <f>IF(ISNUMBER(SEARCH($A29,INDEX(Index_CT!$D$2:$D$36,MATCH(F$3,Index_CT!$A$2:$A$36,0)))),"X","")</f>
        <v/>
      </c>
      <c r="G29" s="39" t="str">
        <f>IF(ISNUMBER(SEARCH($A29,INDEX(Index_CT!$D$2:$D$36,MATCH(G$3,Index_CT!$A$2:$A$36,0)))),"X","")</f>
        <v/>
      </c>
      <c r="H29" s="39" t="str">
        <f>IF(ISNUMBER(SEARCH($A29,INDEX(Index_CT!$D$2:$D$36,MATCH(H$3,Index_CT!$A$2:$A$36,0)))),"X","")</f>
        <v/>
      </c>
      <c r="I29" s="39" t="str">
        <f>IF(ISNUMBER(SEARCH($A29,INDEX(Index_CT!$D$2:$D$36,MATCH(I$3,Index_CT!$A$2:$A$36,0)))),"X","")</f>
        <v/>
      </c>
      <c r="J29" s="39" t="str">
        <f>IF(ISNUMBER(SEARCH($A29,INDEX(Index_CT!$D$2:$D$36,MATCH(J$3,Index_CT!$A$2:$A$36,0)))),"X","")</f>
        <v/>
      </c>
      <c r="K29" s="39" t="str">
        <f>IF(ISNUMBER(SEARCH($A29,INDEX(Index_CT!$D$2:$D$36,MATCH(K$3,Index_CT!$A$2:$A$36,0)))),"X","")</f>
        <v/>
      </c>
      <c r="L29" s="39" t="str">
        <f>IF(ISNUMBER(SEARCH($A29,INDEX(Index_CT!$D$2:$D$36,MATCH(L$3,Index_CT!$A$2:$A$36,0)))),"X","")</f>
        <v/>
      </c>
      <c r="M29" s="39" t="str">
        <f>IF(ISNUMBER(SEARCH($A29,INDEX(Index_CT!$D$2:$D$36,MATCH(M$3,Index_CT!$A$2:$A$36,0)))),"X","")</f>
        <v/>
      </c>
      <c r="N29" s="39" t="str">
        <f>IF(ISNUMBER(SEARCH($A29,INDEX(Index_CT!$D$2:$D$36,MATCH(N$3,Index_CT!$A$2:$A$36,0)))),"X","")</f>
        <v/>
      </c>
      <c r="O29" s="39" t="str">
        <f>IF(ISNUMBER(SEARCH($A29,INDEX(Index_CT!$D$2:$D$36,MATCH(O$3,Index_CT!$A$2:$A$36,0)))),"X","")</f>
        <v/>
      </c>
      <c r="P29" s="39" t="str">
        <f>IF(ISNUMBER(SEARCH($A29,INDEX(Index_CT!$D$2:$D$36,MATCH(P$3,Index_CT!$A$2:$A$36,0)))),"X","")</f>
        <v/>
      </c>
      <c r="Q29" s="39" t="str">
        <f>IF(ISNUMBER(SEARCH($A29,INDEX(Index_CT!$D$2:$D$36,MATCH(Q$3,Index_CT!$A$2:$A$36,0)))),"X","")</f>
        <v/>
      </c>
      <c r="R29" s="39" t="str">
        <f>IF(ISNUMBER(SEARCH($A29,INDEX(Index_CT!$D$2:$D$36,MATCH(R$3,Index_CT!$A$2:$A$36,0)))),"X","")</f>
        <v/>
      </c>
      <c r="S29" s="39" t="str">
        <f>IF(ISNUMBER(SEARCH($A29,INDEX(Index_CT!$D$2:$D$36,MATCH(S$3,Index_CT!$A$2:$A$36,0)))),"X","")</f>
        <v/>
      </c>
      <c r="T29" s="39" t="str">
        <f>IF(ISNUMBER(SEARCH($A29,INDEX(Index_CT!$D$2:$D$36,MATCH(T$3,Index_CT!$A$2:$A$36,0)))),"X","")</f>
        <v/>
      </c>
      <c r="U29" s="39" t="str">
        <f>IF(ISNUMBER(SEARCH($A29,INDEX(Index_CT!$D$2:$D$36,MATCH(U$3,Index_CT!$A$2:$A$36,0)))),"X","")</f>
        <v/>
      </c>
      <c r="V29" s="39" t="str">
        <f>IF(ISNUMBER(SEARCH($A29,INDEX(Index_CT!$D$2:$D$36,MATCH(V$3,Index_CT!$A$2:$A$36,0)))),"X","")</f>
        <v/>
      </c>
      <c r="W29" s="39" t="str">
        <f>IF(ISNUMBER(SEARCH($A29,INDEX(Index_CT!$D$2:$D$36,MATCH(W$3,Index_CT!$A$2:$A$36,0)))),"X","")</f>
        <v/>
      </c>
      <c r="X29" s="39" t="str">
        <f>IF(ISNUMBER(SEARCH($A29,INDEX(Index_CT!$D$2:$D$36,MATCH(X$3,Index_CT!$A$2:$A$36,0)))),"X","")</f>
        <v/>
      </c>
      <c r="Y29" s="39" t="str">
        <f>IF(ISNUMBER(SEARCH($A29,INDEX(Index_CT!$D$2:$D$36,MATCH(Y$3,Index_CT!$A$2:$A$36,0)))),"X","")</f>
        <v/>
      </c>
      <c r="Z29" s="39" t="str">
        <f>IF(ISNUMBER(SEARCH($A29,INDEX(Index_CT!$D$2:$D$36,MATCH(Z$3,Index_CT!$A$2:$A$36,0)))),"X","")</f>
        <v/>
      </c>
      <c r="AA29" s="39" t="str">
        <f>IF(ISNUMBER(SEARCH($A29,INDEX(Index_CT!$D$2:$D$36,MATCH(AA$3,Index_CT!$A$2:$A$36,0)))),"X","")</f>
        <v/>
      </c>
      <c r="AB29" s="39" t="str">
        <f>IF(ISNUMBER(SEARCH($A29,INDEX(Index_CT!$D$2:$D$36,MATCH(AB$3,Index_CT!$A$2:$A$36,0)))),"X","")</f>
        <v/>
      </c>
      <c r="AC29" s="39" t="str">
        <f>IF(ISNUMBER(SEARCH($A29,INDEX(Index_CT!$D$2:$D$36,MATCH(AC$3,Index_CT!$A$2:$A$36,0)))),"X","")</f>
        <v/>
      </c>
      <c r="AD29" s="39" t="str">
        <f>IF(ISNUMBER(SEARCH($A29,INDEX(Index_CT!$D$2:$D$36,MATCH(AD$3,Index_CT!$A$2:$A$36,0)))),"X","")</f>
        <v/>
      </c>
      <c r="AE29" s="39" t="str">
        <f>IF(ISNUMBER(SEARCH($A29,INDEX(Index_CT!$D$2:$D$36,MATCH(AE$3,Index_CT!$A$2:$A$36,0)))),"X","")</f>
        <v/>
      </c>
      <c r="AF29" s="39" t="str">
        <f>IF(ISNUMBER(SEARCH($A29,INDEX(Index_CT!$D$2:$D$36,MATCH(AF$3,Index_CT!$A$2:$A$36,0)))),"X","")</f>
        <v/>
      </c>
      <c r="AG29" s="39" t="str">
        <f>IF(ISNUMBER(SEARCH($A29,INDEX(Index_CT!$D$2:$D$36,MATCH(AG$3,Index_CT!$A$2:$A$36,0)))),"X","")</f>
        <v/>
      </c>
      <c r="AH29" s="39" t="str">
        <f>IF(ISNUMBER(SEARCH($A29,INDEX(Index_CT!$D$2:$D$36,MATCH(AH$3,Index_CT!$A$2:$A$36,0)))),"X","")</f>
        <v/>
      </c>
      <c r="AI29" s="39" t="str">
        <f>IF(ISNUMBER(SEARCH($A29,INDEX(Index_CT!$D$2:$D$36,MATCH(AI$3,Index_CT!$A$2:$A$36,0)))),"X","")</f>
        <v/>
      </c>
      <c r="AJ29" s="39" t="str">
        <f>IF(ISNUMBER(SEARCH($A29,INDEX(Index_CT!$D$2:$D$36,MATCH(AJ$3,Index_CT!$A$2:$A$36,0)))),"X","")</f>
        <v/>
      </c>
      <c r="AK29" s="39" t="str">
        <f>IF(ISNUMBER(SEARCH($A29,INDEX(Index_CT!$D$2:$D$36,MATCH(AK$3,Index_CT!$A$2:$A$36,0)))),"X","")</f>
        <v/>
      </c>
      <c r="AL29" s="39" t="str">
        <f>IF(ISNUMBER(SEARCH($A29,INDEX(Index_CT!$D$2:$D$36,MATCH(AL$3,Index_CT!$A$2:$A$36,0)))),"X","")</f>
        <v/>
      </c>
      <c r="AM29" s="39" t="str">
        <f>IF(ISNUMBER(SEARCH($A29,INDEX(Index_CT!$D$2:$D$36,MATCH(AM$3,Index_CT!$A$2:$A$36,0)))),"X","")</f>
        <v/>
      </c>
      <c r="AN29" s="39" t="str">
        <f>IF(ISNUMBER(SEARCH($A29,INDEX(Index_CT!$D$2:$D$36,MATCH(AN$3,Index_CT!$A$2:$A$36,0)))),"X","")</f>
        <v/>
      </c>
      <c r="AO29" s="39" t="str">
        <f>IF(ISNUMBER(SEARCH($A29,INDEX(Index_CT!$D$2:$D$36,MATCH(AO$3,Index_CT!$A$2:$A$36,0)))),"X","")</f>
        <v/>
      </c>
      <c r="AP29" s="39" t="str">
        <f>IF(ISNUMBER(SEARCH($A29,INDEX(Index_CT!$D$2:$D$36,MATCH(AP$3,Index_CT!$A$2:$A$36,0)))),"X","")</f>
        <v/>
      </c>
      <c r="AQ29" s="39" t="str">
        <f>IF(ISNUMBER(SEARCH($A29,INDEX(Index_CT!$D$2:$D$36,MATCH(AQ$3,Index_CT!$A$2:$A$36,0)))),"X","")</f>
        <v/>
      </c>
      <c r="AR29" s="39" t="str">
        <f>IF(ISNUMBER(SEARCH($A29,INDEX(Index_CT!$D$2:$D$36,MATCH(AR$3,Index_CT!$A$2:$A$36,0)))),"X","")</f>
        <v/>
      </c>
      <c r="AS29" s="39" t="str">
        <f>IF(ISNUMBER(SEARCH($A29,INDEX(Index_CT!$D$2:$D$36,MATCH(AS$3,Index_CT!$A$2:$A$36,0)))),"X","")</f>
        <v/>
      </c>
      <c r="AT29" s="39" t="str">
        <f>IF(ISNUMBER(SEARCH($A29,INDEX(Index_CT!$D$2:$D$36,MATCH(AT$3,Index_CT!$A$2:$A$36,0)))),"X","")</f>
        <v/>
      </c>
      <c r="AU29" s="39" t="str">
        <f>IF(ISNUMBER(SEARCH($A29,INDEX(Index_CT!$D$2:$D$36,MATCH(AU$3,Index_CT!$A$2:$A$36,0)))),"X","")</f>
        <v/>
      </c>
      <c r="AV29" s="39" t="str">
        <f>IF(ISNUMBER(SEARCH($A29,INDEX(Index_CT!$D$2:$D$36,MATCH(AV$3,Index_CT!$A$2:$A$36,0)))),"X","")</f>
        <v/>
      </c>
      <c r="AW29" s="39" t="str">
        <f>IF(ISNUMBER(SEARCH($A29,INDEX(Index_CT!$D$2:$D$36,MATCH(AW$3,Index_CT!$A$2:$A$36,0)))),"X","")</f>
        <v/>
      </c>
      <c r="AX29" s="39" t="str">
        <f>IF(ISNUMBER(SEARCH($A29,INDEX(Index_CT!$D$2:$D$36,MATCH(AX$3,Index_CT!$A$2:$A$36,0)))),"X","")</f>
        <v/>
      </c>
      <c r="AY29" s="39" t="str">
        <f>IF(ISNUMBER(SEARCH($A29,INDEX(Index_CT!$D$2:$D$36,MATCH(AY$3,Index_CT!$A$2:$A$36,0)))),"X","")</f>
        <v/>
      </c>
      <c r="AZ29" s="39" t="str">
        <f>IF(ISNUMBER(SEARCH($A29,INDEX(Index_CT!$D$2:$D$36,MATCH(AZ$3,Index_CT!$A$2:$A$36,0)))),"X","")</f>
        <v/>
      </c>
      <c r="BA29" s="39" t="str">
        <f>IF(ISNUMBER(SEARCH($A29,INDEX(Index_CT!$D$2:$D$36,MATCH(BA$3,Index_CT!$A$2:$A$36,0)))),"X","")</f>
        <v/>
      </c>
      <c r="BB29" s="39" t="str">
        <f>IF(ISNUMBER(SEARCH($A29,INDEX(Index_CT!$D$2:$D$36,MATCH(BB$3,Index_CT!$A$2:$A$36,0)))),"X","")</f>
        <v/>
      </c>
      <c r="BC29" s="39" t="str">
        <f>IF(ISNUMBER(SEARCH($A29,INDEX(Index_CT!$D$2:$D$36,MATCH(BC$3,Index_CT!$A$2:$A$36,0)))),"X","")</f>
        <v/>
      </c>
      <c r="BD29" s="39" t="str">
        <f>IF(ISNUMBER(SEARCH($A29,INDEX(Index_CT!$D$2:$D$36,MATCH(BD$3,Index_CT!$A$2:$A$36,0)))),"X","")</f>
        <v/>
      </c>
      <c r="BE29" s="39" t="str">
        <f>IF(ISNUMBER(SEARCH($A29,INDEX(Index_CT!$D$2:$D$36,MATCH(BE$3,Index_CT!$A$2:$A$36,0)))),"X","")</f>
        <v/>
      </c>
      <c r="BF29" s="39" t="str">
        <f>IF(ISNUMBER(SEARCH($A29,INDEX(Index_CT!$D$2:$D$36,MATCH(BF$3,Index_CT!$A$2:$A$36,0)))),"X","")</f>
        <v/>
      </c>
      <c r="BG29" s="39" t="str">
        <f>IF(ISNUMBER(SEARCH($A29,INDEX(Index_CT!$D$2:$D$36,MATCH(BG$3,Index_CT!$A$2:$A$36,0)))),"X","")</f>
        <v/>
      </c>
      <c r="BH29" s="39" t="str">
        <f>IF(ISNUMBER(SEARCH($A29,INDEX(Index_CT!$D$2:$D$36,MATCH(BH$3,Index_CT!$A$2:$A$36,0)))),"X","")</f>
        <v/>
      </c>
      <c r="BI29" s="39" t="str">
        <f>IF(ISNUMBER(SEARCH($A29,INDEX(Index_CT!$D$2:$D$36,MATCH(BI$3,Index_CT!$A$2:$A$36,0)))),"X","")</f>
        <v/>
      </c>
      <c r="BJ29" s="39" t="str">
        <f>IF(ISNUMBER(SEARCH($A29,INDEX(Index_CT!$D$2:$D$36,MATCH(BJ$3,Index_CT!$A$2:$A$36,0)))),"X","")</f>
        <v/>
      </c>
      <c r="BK29" s="39" t="str">
        <f>IF(ISNUMBER(SEARCH($A29,INDEX(Index_CT!$D$2:$D$36,MATCH(BK$3,Index_CT!$A$2:$A$36,0)))),"X","")</f>
        <v/>
      </c>
      <c r="BL29" s="39" t="str">
        <f>IF(ISNUMBER(SEARCH($A29,INDEX(Index_CT!$D$2:$D$36,MATCH(BL$3,Index_CT!$A$2:$A$36,0)))),"X","")</f>
        <v/>
      </c>
      <c r="BM29" s="39" t="str">
        <f>IF(ISNUMBER(SEARCH($A29,INDEX(Index_CT!$D$2:$D$36,MATCH(BM$3,Index_CT!$A$2:$A$36,0)))),"X","")</f>
        <v/>
      </c>
      <c r="BN29" s="39" t="str">
        <f>IF(ISNUMBER(SEARCH($A29,INDEX(Index_CT!$D$2:$D$36,MATCH(BN$3,Index_CT!$A$2:$A$36,0)))),"X","")</f>
        <v/>
      </c>
      <c r="BO29" s="39" t="str">
        <f>IF(ISNUMBER(SEARCH($A29,INDEX(Index_CT!$D$2:$D$36,MATCH(BO$3,Index_CT!$A$2:$A$36,0)))),"X","")</f>
        <v/>
      </c>
      <c r="BP29" s="39" t="str">
        <f>IF(ISNUMBER(SEARCH($A29,INDEX(Index_CT!$D$2:$D$36,MATCH(BP$3,Index_CT!$A$2:$A$36,0)))),"X","")</f>
        <v/>
      </c>
      <c r="BQ29" s="39" t="str">
        <f>IF(ISNUMBER(SEARCH($A29,INDEX(Index_CT!$D$2:$D$36,MATCH(BQ$3,Index_CT!$A$2:$A$36,0)))),"X","")</f>
        <v/>
      </c>
      <c r="BR29" s="39" t="str">
        <f>IF(ISNUMBER(SEARCH($A29,INDEX(Index_CT!$D$2:$D$36,MATCH(BR$3,Index_CT!$A$2:$A$36,0)))),"X","")</f>
        <v/>
      </c>
    </row>
    <row r="30" spans="1:70" ht="26.25" customHeight="1" x14ac:dyDescent="0.25">
      <c r="A30" s="33" t="s">
        <v>441</v>
      </c>
      <c r="B30" s="34" t="s">
        <v>542</v>
      </c>
      <c r="C30" s="33" t="s">
        <v>53</v>
      </c>
      <c r="D30" s="33">
        <f t="shared" si="0"/>
        <v>0</v>
      </c>
      <c r="E30" s="39" t="str">
        <f>IF(ISNUMBER(SEARCH($A30,INDEX(Index_CT!$D$2:$D$36,MATCH(E$3,Index_CT!$A$2:$A$36,0)))),"X","")</f>
        <v/>
      </c>
      <c r="F30" s="39" t="str">
        <f>IF(ISNUMBER(SEARCH($A30,INDEX(Index_CT!$D$2:$D$36,MATCH(F$3,Index_CT!$A$2:$A$36,0)))),"X","")</f>
        <v/>
      </c>
      <c r="G30" s="39" t="str">
        <f>IF(ISNUMBER(SEARCH($A30,INDEX(Index_CT!$D$2:$D$36,MATCH(G$3,Index_CT!$A$2:$A$36,0)))),"X","")</f>
        <v/>
      </c>
      <c r="H30" s="39" t="str">
        <f>IF(ISNUMBER(SEARCH($A30,INDEX(Index_CT!$D$2:$D$36,MATCH(H$3,Index_CT!$A$2:$A$36,0)))),"X","")</f>
        <v/>
      </c>
      <c r="I30" s="39" t="str">
        <f>IF(ISNUMBER(SEARCH($A30,INDEX(Index_CT!$D$2:$D$36,MATCH(I$3,Index_CT!$A$2:$A$36,0)))),"X","")</f>
        <v/>
      </c>
      <c r="J30" s="39" t="str">
        <f>IF(ISNUMBER(SEARCH($A30,INDEX(Index_CT!$D$2:$D$36,MATCH(J$3,Index_CT!$A$2:$A$36,0)))),"X","")</f>
        <v/>
      </c>
      <c r="K30" s="39" t="str">
        <f>IF(ISNUMBER(SEARCH($A30,INDEX(Index_CT!$D$2:$D$36,MATCH(K$3,Index_CT!$A$2:$A$36,0)))),"X","")</f>
        <v/>
      </c>
      <c r="L30" s="39" t="str">
        <f>IF(ISNUMBER(SEARCH($A30,INDEX(Index_CT!$D$2:$D$36,MATCH(L$3,Index_CT!$A$2:$A$36,0)))),"X","")</f>
        <v/>
      </c>
      <c r="M30" s="39" t="str">
        <f>IF(ISNUMBER(SEARCH($A30,INDEX(Index_CT!$D$2:$D$36,MATCH(M$3,Index_CT!$A$2:$A$36,0)))),"X","")</f>
        <v/>
      </c>
      <c r="N30" s="39" t="str">
        <f>IF(ISNUMBER(SEARCH($A30,INDEX(Index_CT!$D$2:$D$36,MATCH(N$3,Index_CT!$A$2:$A$36,0)))),"X","")</f>
        <v/>
      </c>
      <c r="O30" s="39" t="str">
        <f>IF(ISNUMBER(SEARCH($A30,INDEX(Index_CT!$D$2:$D$36,MATCH(O$3,Index_CT!$A$2:$A$36,0)))),"X","")</f>
        <v/>
      </c>
      <c r="P30" s="39" t="str">
        <f>IF(ISNUMBER(SEARCH($A30,INDEX(Index_CT!$D$2:$D$36,MATCH(P$3,Index_CT!$A$2:$A$36,0)))),"X","")</f>
        <v/>
      </c>
      <c r="Q30" s="39" t="str">
        <f>IF(ISNUMBER(SEARCH($A30,INDEX(Index_CT!$D$2:$D$36,MATCH(Q$3,Index_CT!$A$2:$A$36,0)))),"X","")</f>
        <v/>
      </c>
      <c r="R30" s="39" t="str">
        <f>IF(ISNUMBER(SEARCH($A30,INDEX(Index_CT!$D$2:$D$36,MATCH(R$3,Index_CT!$A$2:$A$36,0)))),"X","")</f>
        <v/>
      </c>
      <c r="S30" s="39" t="str">
        <f>IF(ISNUMBER(SEARCH($A30,INDEX(Index_CT!$D$2:$D$36,MATCH(S$3,Index_CT!$A$2:$A$36,0)))),"X","")</f>
        <v/>
      </c>
      <c r="T30" s="39" t="str">
        <f>IF(ISNUMBER(SEARCH($A30,INDEX(Index_CT!$D$2:$D$36,MATCH(T$3,Index_CT!$A$2:$A$36,0)))),"X","")</f>
        <v/>
      </c>
      <c r="U30" s="39" t="str">
        <f>IF(ISNUMBER(SEARCH($A30,INDEX(Index_CT!$D$2:$D$36,MATCH(U$3,Index_CT!$A$2:$A$36,0)))),"X","")</f>
        <v/>
      </c>
      <c r="V30" s="39" t="str">
        <f>IF(ISNUMBER(SEARCH($A30,INDEX(Index_CT!$D$2:$D$36,MATCH(V$3,Index_CT!$A$2:$A$36,0)))),"X","")</f>
        <v/>
      </c>
      <c r="W30" s="39" t="str">
        <f>IF(ISNUMBER(SEARCH($A30,INDEX(Index_CT!$D$2:$D$36,MATCH(W$3,Index_CT!$A$2:$A$36,0)))),"X","")</f>
        <v/>
      </c>
      <c r="X30" s="39" t="str">
        <f>IF(ISNUMBER(SEARCH($A30,INDEX(Index_CT!$D$2:$D$36,MATCH(X$3,Index_CT!$A$2:$A$36,0)))),"X","")</f>
        <v/>
      </c>
      <c r="Y30" s="39" t="str">
        <f>IF(ISNUMBER(SEARCH($A30,INDEX(Index_CT!$D$2:$D$36,MATCH(Y$3,Index_CT!$A$2:$A$36,0)))),"X","")</f>
        <v/>
      </c>
      <c r="Z30" s="39" t="str">
        <f>IF(ISNUMBER(SEARCH($A30,INDEX(Index_CT!$D$2:$D$36,MATCH(Z$3,Index_CT!$A$2:$A$36,0)))),"X","")</f>
        <v/>
      </c>
      <c r="AA30" s="39" t="str">
        <f>IF(ISNUMBER(SEARCH($A30,INDEX(Index_CT!$D$2:$D$36,MATCH(AA$3,Index_CT!$A$2:$A$36,0)))),"X","")</f>
        <v/>
      </c>
      <c r="AB30" s="39" t="str">
        <f>IF(ISNUMBER(SEARCH($A30,INDEX(Index_CT!$D$2:$D$36,MATCH(AB$3,Index_CT!$A$2:$A$36,0)))),"X","")</f>
        <v/>
      </c>
      <c r="AC30" s="39" t="str">
        <f>IF(ISNUMBER(SEARCH($A30,INDEX(Index_CT!$D$2:$D$36,MATCH(AC$3,Index_CT!$A$2:$A$36,0)))),"X","")</f>
        <v/>
      </c>
      <c r="AD30" s="39" t="str">
        <f>IF(ISNUMBER(SEARCH($A30,INDEX(Index_CT!$D$2:$D$36,MATCH(AD$3,Index_CT!$A$2:$A$36,0)))),"X","")</f>
        <v/>
      </c>
      <c r="AE30" s="39" t="str">
        <f>IF(ISNUMBER(SEARCH($A30,INDEX(Index_CT!$D$2:$D$36,MATCH(AE$3,Index_CT!$A$2:$A$36,0)))),"X","")</f>
        <v/>
      </c>
      <c r="AF30" s="39" t="str">
        <f>IF(ISNUMBER(SEARCH($A30,INDEX(Index_CT!$D$2:$D$36,MATCH(AF$3,Index_CT!$A$2:$A$36,0)))),"X","")</f>
        <v/>
      </c>
      <c r="AG30" s="39" t="str">
        <f>IF(ISNUMBER(SEARCH($A30,INDEX(Index_CT!$D$2:$D$36,MATCH(AG$3,Index_CT!$A$2:$A$36,0)))),"X","")</f>
        <v/>
      </c>
      <c r="AH30" s="39" t="str">
        <f>IF(ISNUMBER(SEARCH($A30,INDEX(Index_CT!$D$2:$D$36,MATCH(AH$3,Index_CT!$A$2:$A$36,0)))),"X","")</f>
        <v/>
      </c>
      <c r="AI30" s="39" t="str">
        <f>IF(ISNUMBER(SEARCH($A30,INDEX(Index_CT!$D$2:$D$36,MATCH(AI$3,Index_CT!$A$2:$A$36,0)))),"X","")</f>
        <v/>
      </c>
      <c r="AJ30" s="39" t="str">
        <f>IF(ISNUMBER(SEARCH($A30,INDEX(Index_CT!$D$2:$D$36,MATCH(AJ$3,Index_CT!$A$2:$A$36,0)))),"X","")</f>
        <v/>
      </c>
      <c r="AK30" s="39" t="str">
        <f>IF(ISNUMBER(SEARCH($A30,INDEX(Index_CT!$D$2:$D$36,MATCH(AK$3,Index_CT!$A$2:$A$36,0)))),"X","")</f>
        <v/>
      </c>
      <c r="AL30" s="39" t="str">
        <f>IF(ISNUMBER(SEARCH($A30,INDEX(Index_CT!$D$2:$D$36,MATCH(AL$3,Index_CT!$A$2:$A$36,0)))),"X","")</f>
        <v/>
      </c>
      <c r="AM30" s="39" t="str">
        <f>IF(ISNUMBER(SEARCH($A30,INDEX(Index_CT!$D$2:$D$36,MATCH(AM$3,Index_CT!$A$2:$A$36,0)))),"X","")</f>
        <v/>
      </c>
      <c r="AN30" s="39" t="str">
        <f>IF(ISNUMBER(SEARCH($A30,INDEX(Index_CT!$D$2:$D$36,MATCH(AN$3,Index_CT!$A$2:$A$36,0)))),"X","")</f>
        <v/>
      </c>
      <c r="AO30" s="39" t="str">
        <f>IF(ISNUMBER(SEARCH($A30,INDEX(Index_CT!$D$2:$D$36,MATCH(AO$3,Index_CT!$A$2:$A$36,0)))),"X","")</f>
        <v/>
      </c>
      <c r="AP30" s="39" t="str">
        <f>IF(ISNUMBER(SEARCH($A30,INDEX(Index_CT!$D$2:$D$36,MATCH(AP$3,Index_CT!$A$2:$A$36,0)))),"X","")</f>
        <v/>
      </c>
      <c r="AQ30" s="39" t="str">
        <f>IF(ISNUMBER(SEARCH($A30,INDEX(Index_CT!$D$2:$D$36,MATCH(AQ$3,Index_CT!$A$2:$A$36,0)))),"X","")</f>
        <v/>
      </c>
      <c r="AR30" s="39" t="str">
        <f>IF(ISNUMBER(SEARCH($A30,INDEX(Index_CT!$D$2:$D$36,MATCH(AR$3,Index_CT!$A$2:$A$36,0)))),"X","")</f>
        <v/>
      </c>
      <c r="AS30" s="39" t="str">
        <f>IF(ISNUMBER(SEARCH($A30,INDEX(Index_CT!$D$2:$D$36,MATCH(AS$3,Index_CT!$A$2:$A$36,0)))),"X","")</f>
        <v/>
      </c>
      <c r="AT30" s="39" t="str">
        <f>IF(ISNUMBER(SEARCH($A30,INDEX(Index_CT!$D$2:$D$36,MATCH(AT$3,Index_CT!$A$2:$A$36,0)))),"X","")</f>
        <v/>
      </c>
      <c r="AU30" s="39" t="str">
        <f>IF(ISNUMBER(SEARCH($A30,INDEX(Index_CT!$D$2:$D$36,MATCH(AU$3,Index_CT!$A$2:$A$36,0)))),"X","")</f>
        <v/>
      </c>
      <c r="AV30" s="39" t="str">
        <f>IF(ISNUMBER(SEARCH($A30,INDEX(Index_CT!$D$2:$D$36,MATCH(AV$3,Index_CT!$A$2:$A$36,0)))),"X","")</f>
        <v/>
      </c>
      <c r="AW30" s="39" t="str">
        <f>IF(ISNUMBER(SEARCH($A30,INDEX(Index_CT!$D$2:$D$36,MATCH(AW$3,Index_CT!$A$2:$A$36,0)))),"X","")</f>
        <v/>
      </c>
      <c r="AX30" s="39" t="str">
        <f>IF(ISNUMBER(SEARCH($A30,INDEX(Index_CT!$D$2:$D$36,MATCH(AX$3,Index_CT!$A$2:$A$36,0)))),"X","")</f>
        <v/>
      </c>
      <c r="AY30" s="39" t="str">
        <f>IF(ISNUMBER(SEARCH($A30,INDEX(Index_CT!$D$2:$D$36,MATCH(AY$3,Index_CT!$A$2:$A$36,0)))),"X","")</f>
        <v/>
      </c>
      <c r="AZ30" s="39" t="str">
        <f>IF(ISNUMBER(SEARCH($A30,INDEX(Index_CT!$D$2:$D$36,MATCH(AZ$3,Index_CT!$A$2:$A$36,0)))),"X","")</f>
        <v/>
      </c>
      <c r="BA30" s="39" t="str">
        <f>IF(ISNUMBER(SEARCH($A30,INDEX(Index_CT!$D$2:$D$36,MATCH(BA$3,Index_CT!$A$2:$A$36,0)))),"X","")</f>
        <v/>
      </c>
      <c r="BB30" s="39" t="str">
        <f>IF(ISNUMBER(SEARCH($A30,INDEX(Index_CT!$D$2:$D$36,MATCH(BB$3,Index_CT!$A$2:$A$36,0)))),"X","")</f>
        <v/>
      </c>
      <c r="BC30" s="39" t="str">
        <f>IF(ISNUMBER(SEARCH($A30,INDEX(Index_CT!$D$2:$D$36,MATCH(BC$3,Index_CT!$A$2:$A$36,0)))),"X","")</f>
        <v/>
      </c>
      <c r="BD30" s="39" t="str">
        <f>IF(ISNUMBER(SEARCH($A30,INDEX(Index_CT!$D$2:$D$36,MATCH(BD$3,Index_CT!$A$2:$A$36,0)))),"X","")</f>
        <v/>
      </c>
      <c r="BE30" s="39" t="str">
        <f>IF(ISNUMBER(SEARCH($A30,INDEX(Index_CT!$D$2:$D$36,MATCH(BE$3,Index_CT!$A$2:$A$36,0)))),"X","")</f>
        <v/>
      </c>
      <c r="BF30" s="39" t="str">
        <f>IF(ISNUMBER(SEARCH($A30,INDEX(Index_CT!$D$2:$D$36,MATCH(BF$3,Index_CT!$A$2:$A$36,0)))),"X","")</f>
        <v/>
      </c>
      <c r="BG30" s="39" t="str">
        <f>IF(ISNUMBER(SEARCH($A30,INDEX(Index_CT!$D$2:$D$36,MATCH(BG$3,Index_CT!$A$2:$A$36,0)))),"X","")</f>
        <v/>
      </c>
      <c r="BH30" s="39" t="str">
        <f>IF(ISNUMBER(SEARCH($A30,INDEX(Index_CT!$D$2:$D$36,MATCH(BH$3,Index_CT!$A$2:$A$36,0)))),"X","")</f>
        <v/>
      </c>
      <c r="BI30" s="39" t="str">
        <f>IF(ISNUMBER(SEARCH($A30,INDEX(Index_CT!$D$2:$D$36,MATCH(BI$3,Index_CT!$A$2:$A$36,0)))),"X","")</f>
        <v/>
      </c>
      <c r="BJ30" s="39" t="str">
        <f>IF(ISNUMBER(SEARCH($A30,INDEX(Index_CT!$D$2:$D$36,MATCH(BJ$3,Index_CT!$A$2:$A$36,0)))),"X","")</f>
        <v/>
      </c>
      <c r="BK30" s="39" t="str">
        <f>IF(ISNUMBER(SEARCH($A30,INDEX(Index_CT!$D$2:$D$36,MATCH(BK$3,Index_CT!$A$2:$A$36,0)))),"X","")</f>
        <v/>
      </c>
      <c r="BL30" s="39" t="str">
        <f>IF(ISNUMBER(SEARCH($A30,INDEX(Index_CT!$D$2:$D$36,MATCH(BL$3,Index_CT!$A$2:$A$36,0)))),"X","")</f>
        <v/>
      </c>
      <c r="BM30" s="39" t="str">
        <f>IF(ISNUMBER(SEARCH($A30,INDEX(Index_CT!$D$2:$D$36,MATCH(BM$3,Index_CT!$A$2:$A$36,0)))),"X","")</f>
        <v/>
      </c>
      <c r="BN30" s="39" t="str">
        <f>IF(ISNUMBER(SEARCH($A30,INDEX(Index_CT!$D$2:$D$36,MATCH(BN$3,Index_CT!$A$2:$A$36,0)))),"X","")</f>
        <v/>
      </c>
      <c r="BO30" s="39" t="str">
        <f>IF(ISNUMBER(SEARCH($A30,INDEX(Index_CT!$D$2:$D$36,MATCH(BO$3,Index_CT!$A$2:$A$36,0)))),"X","")</f>
        <v/>
      </c>
      <c r="BP30" s="39" t="str">
        <f>IF(ISNUMBER(SEARCH($A30,INDEX(Index_CT!$D$2:$D$36,MATCH(BP$3,Index_CT!$A$2:$A$36,0)))),"X","")</f>
        <v/>
      </c>
      <c r="BQ30" s="39" t="str">
        <f>IF(ISNUMBER(SEARCH($A30,INDEX(Index_CT!$D$2:$D$36,MATCH(BQ$3,Index_CT!$A$2:$A$36,0)))),"X","")</f>
        <v/>
      </c>
      <c r="BR30" s="39" t="str">
        <f>IF(ISNUMBER(SEARCH($A30,INDEX(Index_CT!$D$2:$D$36,MATCH(BR$3,Index_CT!$A$2:$A$36,0)))),"X","")</f>
        <v/>
      </c>
    </row>
    <row r="31" spans="1:70" x14ac:dyDescent="0.25">
      <c r="A31" s="33" t="s">
        <v>444</v>
      </c>
      <c r="B31" s="34" t="s">
        <v>543</v>
      </c>
      <c r="C31" s="33" t="s">
        <v>53</v>
      </c>
      <c r="D31" s="33">
        <f t="shared" si="0"/>
        <v>0</v>
      </c>
      <c r="E31" s="39" t="str">
        <f>IF(ISNUMBER(SEARCH($A31,INDEX(Index_CT!$D$2:$D$36,MATCH(E$3,Index_CT!$A$2:$A$36,0)))),"X","")</f>
        <v/>
      </c>
      <c r="F31" s="39" t="str">
        <f>IF(ISNUMBER(SEARCH($A31,INDEX(Index_CT!$D$2:$D$36,MATCH(F$3,Index_CT!$A$2:$A$36,0)))),"X","")</f>
        <v/>
      </c>
      <c r="G31" s="39" t="str">
        <f>IF(ISNUMBER(SEARCH($A31,INDEX(Index_CT!$D$2:$D$36,MATCH(G$3,Index_CT!$A$2:$A$36,0)))),"X","")</f>
        <v/>
      </c>
      <c r="H31" s="39" t="str">
        <f>IF(ISNUMBER(SEARCH($A31,INDEX(Index_CT!$D$2:$D$36,MATCH(H$3,Index_CT!$A$2:$A$36,0)))),"X","")</f>
        <v/>
      </c>
      <c r="I31" s="39" t="str">
        <f>IF(ISNUMBER(SEARCH($A31,INDEX(Index_CT!$D$2:$D$36,MATCH(I$3,Index_CT!$A$2:$A$36,0)))),"X","")</f>
        <v/>
      </c>
      <c r="J31" s="39" t="str">
        <f>IF(ISNUMBER(SEARCH($A31,INDEX(Index_CT!$D$2:$D$36,MATCH(J$3,Index_CT!$A$2:$A$36,0)))),"X","")</f>
        <v/>
      </c>
      <c r="K31" s="39" t="str">
        <f>IF(ISNUMBER(SEARCH($A31,INDEX(Index_CT!$D$2:$D$36,MATCH(K$3,Index_CT!$A$2:$A$36,0)))),"X","")</f>
        <v/>
      </c>
      <c r="L31" s="39" t="str">
        <f>IF(ISNUMBER(SEARCH($A31,INDEX(Index_CT!$D$2:$D$36,MATCH(L$3,Index_CT!$A$2:$A$36,0)))),"X","")</f>
        <v/>
      </c>
      <c r="M31" s="39" t="str">
        <f>IF(ISNUMBER(SEARCH($A31,INDEX(Index_CT!$D$2:$D$36,MATCH(M$3,Index_CT!$A$2:$A$36,0)))),"X","")</f>
        <v/>
      </c>
      <c r="N31" s="39" t="str">
        <f>IF(ISNUMBER(SEARCH($A31,INDEX(Index_CT!$D$2:$D$36,MATCH(N$3,Index_CT!$A$2:$A$36,0)))),"X","")</f>
        <v/>
      </c>
      <c r="O31" s="39" t="str">
        <f>IF(ISNUMBER(SEARCH($A31,INDEX(Index_CT!$D$2:$D$36,MATCH(O$3,Index_CT!$A$2:$A$36,0)))),"X","")</f>
        <v/>
      </c>
      <c r="P31" s="39" t="str">
        <f>IF(ISNUMBER(SEARCH($A31,INDEX(Index_CT!$D$2:$D$36,MATCH(P$3,Index_CT!$A$2:$A$36,0)))),"X","")</f>
        <v/>
      </c>
      <c r="Q31" s="39" t="str">
        <f>IF(ISNUMBER(SEARCH($A31,INDEX(Index_CT!$D$2:$D$36,MATCH(Q$3,Index_CT!$A$2:$A$36,0)))),"X","")</f>
        <v/>
      </c>
      <c r="R31" s="39" t="str">
        <f>IF(ISNUMBER(SEARCH($A31,INDEX(Index_CT!$D$2:$D$36,MATCH(R$3,Index_CT!$A$2:$A$36,0)))),"X","")</f>
        <v/>
      </c>
      <c r="S31" s="39" t="str">
        <f>IF(ISNUMBER(SEARCH($A31,INDEX(Index_CT!$D$2:$D$36,MATCH(S$3,Index_CT!$A$2:$A$36,0)))),"X","")</f>
        <v/>
      </c>
      <c r="T31" s="39" t="str">
        <f>IF(ISNUMBER(SEARCH($A31,INDEX(Index_CT!$D$2:$D$36,MATCH(T$3,Index_CT!$A$2:$A$36,0)))),"X","")</f>
        <v/>
      </c>
      <c r="U31" s="39" t="str">
        <f>IF(ISNUMBER(SEARCH($A31,INDEX(Index_CT!$D$2:$D$36,MATCH(U$3,Index_CT!$A$2:$A$36,0)))),"X","")</f>
        <v/>
      </c>
      <c r="V31" s="39" t="str">
        <f>IF(ISNUMBER(SEARCH($A31,INDEX(Index_CT!$D$2:$D$36,MATCH(V$3,Index_CT!$A$2:$A$36,0)))),"X","")</f>
        <v/>
      </c>
      <c r="W31" s="39" t="str">
        <f>IF(ISNUMBER(SEARCH($A31,INDEX(Index_CT!$D$2:$D$36,MATCH(W$3,Index_CT!$A$2:$A$36,0)))),"X","")</f>
        <v/>
      </c>
      <c r="X31" s="39" t="str">
        <f>IF(ISNUMBER(SEARCH($A31,INDEX(Index_CT!$D$2:$D$36,MATCH(X$3,Index_CT!$A$2:$A$36,0)))),"X","")</f>
        <v/>
      </c>
      <c r="Y31" s="39" t="str">
        <f>IF(ISNUMBER(SEARCH($A31,INDEX(Index_CT!$D$2:$D$36,MATCH(Y$3,Index_CT!$A$2:$A$36,0)))),"X","")</f>
        <v/>
      </c>
      <c r="Z31" s="39" t="str">
        <f>IF(ISNUMBER(SEARCH($A31,INDEX(Index_CT!$D$2:$D$36,MATCH(Z$3,Index_CT!$A$2:$A$36,0)))),"X","")</f>
        <v/>
      </c>
      <c r="AA31" s="39" t="str">
        <f>IF(ISNUMBER(SEARCH($A31,INDEX(Index_CT!$D$2:$D$36,MATCH(AA$3,Index_CT!$A$2:$A$36,0)))),"X","")</f>
        <v/>
      </c>
      <c r="AB31" s="39" t="str">
        <f>IF(ISNUMBER(SEARCH($A31,INDEX(Index_CT!$D$2:$D$36,MATCH(AB$3,Index_CT!$A$2:$A$36,0)))),"X","")</f>
        <v/>
      </c>
      <c r="AC31" s="39" t="str">
        <f>IF(ISNUMBER(SEARCH($A31,INDEX(Index_CT!$D$2:$D$36,MATCH(AC$3,Index_CT!$A$2:$A$36,0)))),"X","")</f>
        <v/>
      </c>
      <c r="AD31" s="39" t="str">
        <f>IF(ISNUMBER(SEARCH($A31,INDEX(Index_CT!$D$2:$D$36,MATCH(AD$3,Index_CT!$A$2:$A$36,0)))),"X","")</f>
        <v/>
      </c>
      <c r="AE31" s="39" t="str">
        <f>IF(ISNUMBER(SEARCH($A31,INDEX(Index_CT!$D$2:$D$36,MATCH(AE$3,Index_CT!$A$2:$A$36,0)))),"X","")</f>
        <v/>
      </c>
      <c r="AF31" s="39" t="str">
        <f>IF(ISNUMBER(SEARCH($A31,INDEX(Index_CT!$D$2:$D$36,MATCH(AF$3,Index_CT!$A$2:$A$36,0)))),"X","")</f>
        <v/>
      </c>
      <c r="AG31" s="39" t="str">
        <f>IF(ISNUMBER(SEARCH($A31,INDEX(Index_CT!$D$2:$D$36,MATCH(AG$3,Index_CT!$A$2:$A$36,0)))),"X","")</f>
        <v/>
      </c>
      <c r="AH31" s="39" t="str">
        <f>IF(ISNUMBER(SEARCH($A31,INDEX(Index_CT!$D$2:$D$36,MATCH(AH$3,Index_CT!$A$2:$A$36,0)))),"X","")</f>
        <v/>
      </c>
      <c r="AI31" s="39" t="str">
        <f>IF(ISNUMBER(SEARCH($A31,INDEX(Index_CT!$D$2:$D$36,MATCH(AI$3,Index_CT!$A$2:$A$36,0)))),"X","")</f>
        <v/>
      </c>
      <c r="AJ31" s="39" t="str">
        <f>IF(ISNUMBER(SEARCH($A31,INDEX(Index_CT!$D$2:$D$36,MATCH(AJ$3,Index_CT!$A$2:$A$36,0)))),"X","")</f>
        <v/>
      </c>
      <c r="AK31" s="39" t="str">
        <f>IF(ISNUMBER(SEARCH($A31,INDEX(Index_CT!$D$2:$D$36,MATCH(AK$3,Index_CT!$A$2:$A$36,0)))),"X","")</f>
        <v/>
      </c>
      <c r="AL31" s="39" t="str">
        <f>IF(ISNUMBER(SEARCH($A31,INDEX(Index_CT!$D$2:$D$36,MATCH(AL$3,Index_CT!$A$2:$A$36,0)))),"X","")</f>
        <v/>
      </c>
      <c r="AM31" s="39" t="str">
        <f>IF(ISNUMBER(SEARCH($A31,INDEX(Index_CT!$D$2:$D$36,MATCH(AM$3,Index_CT!$A$2:$A$36,0)))),"X","")</f>
        <v/>
      </c>
      <c r="AN31" s="39" t="str">
        <f>IF(ISNUMBER(SEARCH($A31,INDEX(Index_CT!$D$2:$D$36,MATCH(AN$3,Index_CT!$A$2:$A$36,0)))),"X","")</f>
        <v/>
      </c>
      <c r="AO31" s="39" t="str">
        <f>IF(ISNUMBER(SEARCH($A31,INDEX(Index_CT!$D$2:$D$36,MATCH(AO$3,Index_CT!$A$2:$A$36,0)))),"X","")</f>
        <v/>
      </c>
      <c r="AP31" s="39" t="str">
        <f>IF(ISNUMBER(SEARCH($A31,INDEX(Index_CT!$D$2:$D$36,MATCH(AP$3,Index_CT!$A$2:$A$36,0)))),"X","")</f>
        <v/>
      </c>
      <c r="AQ31" s="39" t="str">
        <f>IF(ISNUMBER(SEARCH($A31,INDEX(Index_CT!$D$2:$D$36,MATCH(AQ$3,Index_CT!$A$2:$A$36,0)))),"X","")</f>
        <v/>
      </c>
      <c r="AR31" s="39" t="str">
        <f>IF(ISNUMBER(SEARCH($A31,INDEX(Index_CT!$D$2:$D$36,MATCH(AR$3,Index_CT!$A$2:$A$36,0)))),"X","")</f>
        <v/>
      </c>
      <c r="AS31" s="39" t="str">
        <f>IF(ISNUMBER(SEARCH($A31,INDEX(Index_CT!$D$2:$D$36,MATCH(AS$3,Index_CT!$A$2:$A$36,0)))),"X","")</f>
        <v/>
      </c>
      <c r="AT31" s="39" t="str">
        <f>IF(ISNUMBER(SEARCH($A31,INDEX(Index_CT!$D$2:$D$36,MATCH(AT$3,Index_CT!$A$2:$A$36,0)))),"X","")</f>
        <v/>
      </c>
      <c r="AU31" s="39" t="str">
        <f>IF(ISNUMBER(SEARCH($A31,INDEX(Index_CT!$D$2:$D$36,MATCH(AU$3,Index_CT!$A$2:$A$36,0)))),"X","")</f>
        <v/>
      </c>
      <c r="AV31" s="39" t="str">
        <f>IF(ISNUMBER(SEARCH($A31,INDEX(Index_CT!$D$2:$D$36,MATCH(AV$3,Index_CT!$A$2:$A$36,0)))),"X","")</f>
        <v/>
      </c>
      <c r="AW31" s="39" t="str">
        <f>IF(ISNUMBER(SEARCH($A31,INDEX(Index_CT!$D$2:$D$36,MATCH(AW$3,Index_CT!$A$2:$A$36,0)))),"X","")</f>
        <v/>
      </c>
      <c r="AX31" s="39" t="str">
        <f>IF(ISNUMBER(SEARCH($A31,INDEX(Index_CT!$D$2:$D$36,MATCH(AX$3,Index_CT!$A$2:$A$36,0)))),"X","")</f>
        <v/>
      </c>
      <c r="AY31" s="39" t="str">
        <f>IF(ISNUMBER(SEARCH($A31,INDEX(Index_CT!$D$2:$D$36,MATCH(AY$3,Index_CT!$A$2:$A$36,0)))),"X","")</f>
        <v/>
      </c>
      <c r="AZ31" s="39" t="str">
        <f>IF(ISNUMBER(SEARCH($A31,INDEX(Index_CT!$D$2:$D$36,MATCH(AZ$3,Index_CT!$A$2:$A$36,0)))),"X","")</f>
        <v/>
      </c>
      <c r="BA31" s="39" t="str">
        <f>IF(ISNUMBER(SEARCH($A31,INDEX(Index_CT!$D$2:$D$36,MATCH(BA$3,Index_CT!$A$2:$A$36,0)))),"X","")</f>
        <v/>
      </c>
      <c r="BB31" s="39" t="str">
        <f>IF(ISNUMBER(SEARCH($A31,INDEX(Index_CT!$D$2:$D$36,MATCH(BB$3,Index_CT!$A$2:$A$36,0)))),"X","")</f>
        <v/>
      </c>
      <c r="BC31" s="39" t="str">
        <f>IF(ISNUMBER(SEARCH($A31,INDEX(Index_CT!$D$2:$D$36,MATCH(BC$3,Index_CT!$A$2:$A$36,0)))),"X","")</f>
        <v/>
      </c>
      <c r="BD31" s="39" t="str">
        <f>IF(ISNUMBER(SEARCH($A31,INDEX(Index_CT!$D$2:$D$36,MATCH(BD$3,Index_CT!$A$2:$A$36,0)))),"X","")</f>
        <v/>
      </c>
      <c r="BE31" s="39" t="str">
        <f>IF(ISNUMBER(SEARCH($A31,INDEX(Index_CT!$D$2:$D$36,MATCH(BE$3,Index_CT!$A$2:$A$36,0)))),"X","")</f>
        <v/>
      </c>
      <c r="BF31" s="39" t="str">
        <f>IF(ISNUMBER(SEARCH($A31,INDEX(Index_CT!$D$2:$D$36,MATCH(BF$3,Index_CT!$A$2:$A$36,0)))),"X","")</f>
        <v/>
      </c>
      <c r="BG31" s="39" t="str">
        <f>IF(ISNUMBER(SEARCH($A31,INDEX(Index_CT!$D$2:$D$36,MATCH(BG$3,Index_CT!$A$2:$A$36,0)))),"X","")</f>
        <v/>
      </c>
      <c r="BH31" s="39" t="str">
        <f>IF(ISNUMBER(SEARCH($A31,INDEX(Index_CT!$D$2:$D$36,MATCH(BH$3,Index_CT!$A$2:$A$36,0)))),"X","")</f>
        <v/>
      </c>
      <c r="BI31" s="39" t="str">
        <f>IF(ISNUMBER(SEARCH($A31,INDEX(Index_CT!$D$2:$D$36,MATCH(BI$3,Index_CT!$A$2:$A$36,0)))),"X","")</f>
        <v/>
      </c>
      <c r="BJ31" s="39" t="str">
        <f>IF(ISNUMBER(SEARCH($A31,INDEX(Index_CT!$D$2:$D$36,MATCH(BJ$3,Index_CT!$A$2:$A$36,0)))),"X","")</f>
        <v/>
      </c>
      <c r="BK31" s="39" t="str">
        <f>IF(ISNUMBER(SEARCH($A31,INDEX(Index_CT!$D$2:$D$36,MATCH(BK$3,Index_CT!$A$2:$A$36,0)))),"X","")</f>
        <v/>
      </c>
      <c r="BL31" s="39" t="str">
        <f>IF(ISNUMBER(SEARCH($A31,INDEX(Index_CT!$D$2:$D$36,MATCH(BL$3,Index_CT!$A$2:$A$36,0)))),"X","")</f>
        <v/>
      </c>
      <c r="BM31" s="39" t="str">
        <f>IF(ISNUMBER(SEARCH($A31,INDEX(Index_CT!$D$2:$D$36,MATCH(BM$3,Index_CT!$A$2:$A$36,0)))),"X","")</f>
        <v/>
      </c>
      <c r="BN31" s="39" t="str">
        <f>IF(ISNUMBER(SEARCH($A31,INDEX(Index_CT!$D$2:$D$36,MATCH(BN$3,Index_CT!$A$2:$A$36,0)))),"X","")</f>
        <v/>
      </c>
      <c r="BO31" s="39" t="str">
        <f>IF(ISNUMBER(SEARCH($A31,INDEX(Index_CT!$D$2:$D$36,MATCH(BO$3,Index_CT!$A$2:$A$36,0)))),"X","")</f>
        <v/>
      </c>
      <c r="BP31" s="39" t="str">
        <f>IF(ISNUMBER(SEARCH($A31,INDEX(Index_CT!$D$2:$D$36,MATCH(BP$3,Index_CT!$A$2:$A$36,0)))),"X","")</f>
        <v/>
      </c>
      <c r="BQ31" s="39" t="str">
        <f>IF(ISNUMBER(SEARCH($A31,INDEX(Index_CT!$D$2:$D$36,MATCH(BQ$3,Index_CT!$A$2:$A$36,0)))),"X","")</f>
        <v/>
      </c>
      <c r="BR31" s="39" t="str">
        <f>IF(ISNUMBER(SEARCH($A31,INDEX(Index_CT!$D$2:$D$36,MATCH(BR$3,Index_CT!$A$2:$A$36,0)))),"X","")</f>
        <v/>
      </c>
    </row>
    <row r="32" spans="1:70" ht="26.25" customHeight="1" x14ac:dyDescent="0.25">
      <c r="A32" s="33" t="s">
        <v>449</v>
      </c>
      <c r="B32" s="34" t="s">
        <v>544</v>
      </c>
      <c r="C32" s="33" t="s">
        <v>83</v>
      </c>
      <c r="D32" s="33">
        <f t="shared" si="0"/>
        <v>0</v>
      </c>
      <c r="E32" s="39" t="str">
        <f>IF(ISNUMBER(SEARCH($A32,INDEX(Index_CT!$D$2:$D$36,MATCH(E$3,Index_CT!$A$2:$A$36,0)))),"X","")</f>
        <v/>
      </c>
      <c r="F32" s="39" t="str">
        <f>IF(ISNUMBER(SEARCH($A32,INDEX(Index_CT!$D$2:$D$36,MATCH(F$3,Index_CT!$A$2:$A$36,0)))),"X","")</f>
        <v/>
      </c>
      <c r="G32" s="39" t="str">
        <f>IF(ISNUMBER(SEARCH($A32,INDEX(Index_CT!$D$2:$D$36,MATCH(G$3,Index_CT!$A$2:$A$36,0)))),"X","")</f>
        <v/>
      </c>
      <c r="H32" s="39" t="str">
        <f>IF(ISNUMBER(SEARCH($A32,INDEX(Index_CT!$D$2:$D$36,MATCH(H$3,Index_CT!$A$2:$A$36,0)))),"X","")</f>
        <v/>
      </c>
      <c r="I32" s="39" t="str">
        <f>IF(ISNUMBER(SEARCH($A32,INDEX(Index_CT!$D$2:$D$36,MATCH(I$3,Index_CT!$A$2:$A$36,0)))),"X","")</f>
        <v/>
      </c>
      <c r="J32" s="39" t="str">
        <f>IF(ISNUMBER(SEARCH($A32,INDEX(Index_CT!$D$2:$D$36,MATCH(J$3,Index_CT!$A$2:$A$36,0)))),"X","")</f>
        <v/>
      </c>
      <c r="K32" s="39" t="str">
        <f>IF(ISNUMBER(SEARCH($A32,INDEX(Index_CT!$D$2:$D$36,MATCH(K$3,Index_CT!$A$2:$A$36,0)))),"X","")</f>
        <v/>
      </c>
      <c r="L32" s="39" t="str">
        <f>IF(ISNUMBER(SEARCH($A32,INDEX(Index_CT!$D$2:$D$36,MATCH(L$3,Index_CT!$A$2:$A$36,0)))),"X","")</f>
        <v/>
      </c>
      <c r="M32" s="39" t="str">
        <f>IF(ISNUMBER(SEARCH($A32,INDEX(Index_CT!$D$2:$D$36,MATCH(M$3,Index_CT!$A$2:$A$36,0)))),"X","")</f>
        <v/>
      </c>
      <c r="N32" s="39" t="str">
        <f>IF(ISNUMBER(SEARCH($A32,INDEX(Index_CT!$D$2:$D$36,MATCH(N$3,Index_CT!$A$2:$A$36,0)))),"X","")</f>
        <v/>
      </c>
      <c r="O32" s="39" t="str">
        <f>IF(ISNUMBER(SEARCH($A32,INDEX(Index_CT!$D$2:$D$36,MATCH(O$3,Index_CT!$A$2:$A$36,0)))),"X","")</f>
        <v/>
      </c>
      <c r="P32" s="39" t="str">
        <f>IF(ISNUMBER(SEARCH($A32,INDEX(Index_CT!$D$2:$D$36,MATCH(P$3,Index_CT!$A$2:$A$36,0)))),"X","")</f>
        <v/>
      </c>
      <c r="Q32" s="39" t="str">
        <f>IF(ISNUMBER(SEARCH($A32,INDEX(Index_CT!$D$2:$D$36,MATCH(Q$3,Index_CT!$A$2:$A$36,0)))),"X","")</f>
        <v/>
      </c>
      <c r="R32" s="39" t="str">
        <f>IF(ISNUMBER(SEARCH($A32,INDEX(Index_CT!$D$2:$D$36,MATCH(R$3,Index_CT!$A$2:$A$36,0)))),"X","")</f>
        <v/>
      </c>
      <c r="S32" s="39" t="str">
        <f>IF(ISNUMBER(SEARCH($A32,INDEX(Index_CT!$D$2:$D$36,MATCH(S$3,Index_CT!$A$2:$A$36,0)))),"X","")</f>
        <v/>
      </c>
      <c r="T32" s="39" t="str">
        <f>IF(ISNUMBER(SEARCH($A32,INDEX(Index_CT!$D$2:$D$36,MATCH(T$3,Index_CT!$A$2:$A$36,0)))),"X","")</f>
        <v/>
      </c>
      <c r="U32" s="39" t="str">
        <f>IF(ISNUMBER(SEARCH($A32,INDEX(Index_CT!$D$2:$D$36,MATCH(U$3,Index_CT!$A$2:$A$36,0)))),"X","")</f>
        <v/>
      </c>
      <c r="V32" s="39" t="str">
        <f>IF(ISNUMBER(SEARCH($A32,INDEX(Index_CT!$D$2:$D$36,MATCH(V$3,Index_CT!$A$2:$A$36,0)))),"X","")</f>
        <v/>
      </c>
      <c r="W32" s="39" t="str">
        <f>IF(ISNUMBER(SEARCH($A32,INDEX(Index_CT!$D$2:$D$36,MATCH(W$3,Index_CT!$A$2:$A$36,0)))),"X","")</f>
        <v/>
      </c>
      <c r="X32" s="39" t="str">
        <f>IF(ISNUMBER(SEARCH($A32,INDEX(Index_CT!$D$2:$D$36,MATCH(X$3,Index_CT!$A$2:$A$36,0)))),"X","")</f>
        <v/>
      </c>
      <c r="Y32" s="39" t="str">
        <f>IF(ISNUMBER(SEARCH($A32,INDEX(Index_CT!$D$2:$D$36,MATCH(Y$3,Index_CT!$A$2:$A$36,0)))),"X","")</f>
        <v/>
      </c>
      <c r="Z32" s="39" t="str">
        <f>IF(ISNUMBER(SEARCH($A32,INDEX(Index_CT!$D$2:$D$36,MATCH(Z$3,Index_CT!$A$2:$A$36,0)))),"X","")</f>
        <v/>
      </c>
      <c r="AA32" s="39" t="str">
        <f>IF(ISNUMBER(SEARCH($A32,INDEX(Index_CT!$D$2:$D$36,MATCH(AA$3,Index_CT!$A$2:$A$36,0)))),"X","")</f>
        <v/>
      </c>
      <c r="AB32" s="39" t="str">
        <f>IF(ISNUMBER(SEARCH($A32,INDEX(Index_CT!$D$2:$D$36,MATCH(AB$3,Index_CT!$A$2:$A$36,0)))),"X","")</f>
        <v/>
      </c>
      <c r="AC32" s="39" t="str">
        <f>IF(ISNUMBER(SEARCH($A32,INDEX(Index_CT!$D$2:$D$36,MATCH(AC$3,Index_CT!$A$2:$A$36,0)))),"X","")</f>
        <v/>
      </c>
      <c r="AD32" s="39" t="str">
        <f>IF(ISNUMBER(SEARCH($A32,INDEX(Index_CT!$D$2:$D$36,MATCH(AD$3,Index_CT!$A$2:$A$36,0)))),"X","")</f>
        <v/>
      </c>
      <c r="AE32" s="39" t="str">
        <f>IF(ISNUMBER(SEARCH($A32,INDEX(Index_CT!$D$2:$D$36,MATCH(AE$3,Index_CT!$A$2:$A$36,0)))),"X","")</f>
        <v/>
      </c>
      <c r="AF32" s="39" t="str">
        <f>IF(ISNUMBER(SEARCH($A32,INDEX(Index_CT!$D$2:$D$36,MATCH(AF$3,Index_CT!$A$2:$A$36,0)))),"X","")</f>
        <v/>
      </c>
      <c r="AG32" s="39" t="str">
        <f>IF(ISNUMBER(SEARCH($A32,INDEX(Index_CT!$D$2:$D$36,MATCH(AG$3,Index_CT!$A$2:$A$36,0)))),"X","")</f>
        <v/>
      </c>
      <c r="AH32" s="39" t="str">
        <f>IF(ISNUMBER(SEARCH($A32,INDEX(Index_CT!$D$2:$D$36,MATCH(AH$3,Index_CT!$A$2:$A$36,0)))),"X","")</f>
        <v/>
      </c>
      <c r="AI32" s="39" t="str">
        <f>IF(ISNUMBER(SEARCH($A32,INDEX(Index_CT!$D$2:$D$36,MATCH(AI$3,Index_CT!$A$2:$A$36,0)))),"X","")</f>
        <v/>
      </c>
      <c r="AJ32" s="39" t="str">
        <f>IF(ISNUMBER(SEARCH($A32,INDEX(Index_CT!$D$2:$D$36,MATCH(AJ$3,Index_CT!$A$2:$A$36,0)))),"X","")</f>
        <v/>
      </c>
      <c r="AK32" s="39" t="str">
        <f>IF(ISNUMBER(SEARCH($A32,INDEX(Index_CT!$D$2:$D$36,MATCH(AK$3,Index_CT!$A$2:$A$36,0)))),"X","")</f>
        <v/>
      </c>
      <c r="AL32" s="39" t="str">
        <f>IF(ISNUMBER(SEARCH($A32,INDEX(Index_CT!$D$2:$D$36,MATCH(AL$3,Index_CT!$A$2:$A$36,0)))),"X","")</f>
        <v/>
      </c>
      <c r="AM32" s="39" t="str">
        <f>IF(ISNUMBER(SEARCH($A32,INDEX(Index_CT!$D$2:$D$36,MATCH(AM$3,Index_CT!$A$2:$A$36,0)))),"X","")</f>
        <v/>
      </c>
      <c r="AN32" s="39" t="str">
        <f>IF(ISNUMBER(SEARCH($A32,INDEX(Index_CT!$D$2:$D$36,MATCH(AN$3,Index_CT!$A$2:$A$36,0)))),"X","")</f>
        <v/>
      </c>
      <c r="AO32" s="39" t="str">
        <f>IF(ISNUMBER(SEARCH($A32,INDEX(Index_CT!$D$2:$D$36,MATCH(AO$3,Index_CT!$A$2:$A$36,0)))),"X","")</f>
        <v/>
      </c>
      <c r="AP32" s="39" t="str">
        <f>IF(ISNUMBER(SEARCH($A32,INDEX(Index_CT!$D$2:$D$36,MATCH(AP$3,Index_CT!$A$2:$A$36,0)))),"X","")</f>
        <v/>
      </c>
      <c r="AQ32" s="39" t="str">
        <f>IF(ISNUMBER(SEARCH($A32,INDEX(Index_CT!$D$2:$D$36,MATCH(AQ$3,Index_CT!$A$2:$A$36,0)))),"X","")</f>
        <v/>
      </c>
      <c r="AR32" s="39" t="str">
        <f>IF(ISNUMBER(SEARCH($A32,INDEX(Index_CT!$D$2:$D$36,MATCH(AR$3,Index_CT!$A$2:$A$36,0)))),"X","")</f>
        <v/>
      </c>
      <c r="AS32" s="39" t="str">
        <f>IF(ISNUMBER(SEARCH($A32,INDEX(Index_CT!$D$2:$D$36,MATCH(AS$3,Index_CT!$A$2:$A$36,0)))),"X","")</f>
        <v/>
      </c>
      <c r="AT32" s="39" t="str">
        <f>IF(ISNUMBER(SEARCH($A32,INDEX(Index_CT!$D$2:$D$36,MATCH(AT$3,Index_CT!$A$2:$A$36,0)))),"X","")</f>
        <v/>
      </c>
      <c r="AU32" s="39" t="str">
        <f>IF(ISNUMBER(SEARCH($A32,INDEX(Index_CT!$D$2:$D$36,MATCH(AU$3,Index_CT!$A$2:$A$36,0)))),"X","")</f>
        <v/>
      </c>
      <c r="AV32" s="39" t="str">
        <f>IF(ISNUMBER(SEARCH($A32,INDEX(Index_CT!$D$2:$D$36,MATCH(AV$3,Index_CT!$A$2:$A$36,0)))),"X","")</f>
        <v/>
      </c>
      <c r="AW32" s="39" t="str">
        <f>IF(ISNUMBER(SEARCH($A32,INDEX(Index_CT!$D$2:$D$36,MATCH(AW$3,Index_CT!$A$2:$A$36,0)))),"X","")</f>
        <v/>
      </c>
      <c r="AX32" s="39" t="str">
        <f>IF(ISNUMBER(SEARCH($A32,INDEX(Index_CT!$D$2:$D$36,MATCH(AX$3,Index_CT!$A$2:$A$36,0)))),"X","")</f>
        <v/>
      </c>
      <c r="AY32" s="39" t="str">
        <f>IF(ISNUMBER(SEARCH($A32,INDEX(Index_CT!$D$2:$D$36,MATCH(AY$3,Index_CT!$A$2:$A$36,0)))),"X","")</f>
        <v/>
      </c>
      <c r="AZ32" s="39" t="str">
        <f>IF(ISNUMBER(SEARCH($A32,INDEX(Index_CT!$D$2:$D$36,MATCH(AZ$3,Index_CT!$A$2:$A$36,0)))),"X","")</f>
        <v/>
      </c>
      <c r="BA32" s="39" t="str">
        <f>IF(ISNUMBER(SEARCH($A32,INDEX(Index_CT!$D$2:$D$36,MATCH(BA$3,Index_CT!$A$2:$A$36,0)))),"X","")</f>
        <v/>
      </c>
      <c r="BB32" s="39" t="str">
        <f>IF(ISNUMBER(SEARCH($A32,INDEX(Index_CT!$D$2:$D$36,MATCH(BB$3,Index_CT!$A$2:$A$36,0)))),"X","")</f>
        <v/>
      </c>
      <c r="BC32" s="39" t="str">
        <f>IF(ISNUMBER(SEARCH($A32,INDEX(Index_CT!$D$2:$D$36,MATCH(BC$3,Index_CT!$A$2:$A$36,0)))),"X","")</f>
        <v/>
      </c>
      <c r="BD32" s="39" t="str">
        <f>IF(ISNUMBER(SEARCH($A32,INDEX(Index_CT!$D$2:$D$36,MATCH(BD$3,Index_CT!$A$2:$A$36,0)))),"X","")</f>
        <v/>
      </c>
      <c r="BE32" s="39" t="str">
        <f>IF(ISNUMBER(SEARCH($A32,INDEX(Index_CT!$D$2:$D$36,MATCH(BE$3,Index_CT!$A$2:$A$36,0)))),"X","")</f>
        <v/>
      </c>
      <c r="BF32" s="39" t="str">
        <f>IF(ISNUMBER(SEARCH($A32,INDEX(Index_CT!$D$2:$D$36,MATCH(BF$3,Index_CT!$A$2:$A$36,0)))),"X","")</f>
        <v/>
      </c>
      <c r="BG32" s="39" t="str">
        <f>IF(ISNUMBER(SEARCH($A32,INDEX(Index_CT!$D$2:$D$36,MATCH(BG$3,Index_CT!$A$2:$A$36,0)))),"X","")</f>
        <v/>
      </c>
      <c r="BH32" s="39" t="str">
        <f>IF(ISNUMBER(SEARCH($A32,INDEX(Index_CT!$D$2:$D$36,MATCH(BH$3,Index_CT!$A$2:$A$36,0)))),"X","")</f>
        <v/>
      </c>
      <c r="BI32" s="39" t="str">
        <f>IF(ISNUMBER(SEARCH($A32,INDEX(Index_CT!$D$2:$D$36,MATCH(BI$3,Index_CT!$A$2:$A$36,0)))),"X","")</f>
        <v/>
      </c>
      <c r="BJ32" s="39" t="str">
        <f>IF(ISNUMBER(SEARCH($A32,INDEX(Index_CT!$D$2:$D$36,MATCH(BJ$3,Index_CT!$A$2:$A$36,0)))),"X","")</f>
        <v/>
      </c>
      <c r="BK32" s="39" t="str">
        <f>IF(ISNUMBER(SEARCH($A32,INDEX(Index_CT!$D$2:$D$36,MATCH(BK$3,Index_CT!$A$2:$A$36,0)))),"X","")</f>
        <v/>
      </c>
      <c r="BL32" s="39" t="str">
        <f>IF(ISNUMBER(SEARCH($A32,INDEX(Index_CT!$D$2:$D$36,MATCH(BL$3,Index_CT!$A$2:$A$36,0)))),"X","")</f>
        <v/>
      </c>
      <c r="BM32" s="39" t="str">
        <f>IF(ISNUMBER(SEARCH($A32,INDEX(Index_CT!$D$2:$D$36,MATCH(BM$3,Index_CT!$A$2:$A$36,0)))),"X","")</f>
        <v/>
      </c>
      <c r="BN32" s="39" t="str">
        <f>IF(ISNUMBER(SEARCH($A32,INDEX(Index_CT!$D$2:$D$36,MATCH(BN$3,Index_CT!$A$2:$A$36,0)))),"X","")</f>
        <v/>
      </c>
      <c r="BO32" s="39" t="str">
        <f>IF(ISNUMBER(SEARCH($A32,INDEX(Index_CT!$D$2:$D$36,MATCH(BO$3,Index_CT!$A$2:$A$36,0)))),"X","")</f>
        <v/>
      </c>
      <c r="BP32" s="39" t="str">
        <f>IF(ISNUMBER(SEARCH($A32,INDEX(Index_CT!$D$2:$D$36,MATCH(BP$3,Index_CT!$A$2:$A$36,0)))),"X","")</f>
        <v/>
      </c>
      <c r="BQ32" s="39" t="str">
        <f>IF(ISNUMBER(SEARCH($A32,INDEX(Index_CT!$D$2:$D$36,MATCH(BQ$3,Index_CT!$A$2:$A$36,0)))),"X","")</f>
        <v/>
      </c>
      <c r="BR32" s="39" t="str">
        <f>IF(ISNUMBER(SEARCH($A32,INDEX(Index_CT!$D$2:$D$36,MATCH(BR$3,Index_CT!$A$2:$A$36,0)))),"X","")</f>
        <v/>
      </c>
    </row>
    <row r="33" spans="1:70" x14ac:dyDescent="0.25">
      <c r="A33" s="33" t="s">
        <v>447</v>
      </c>
      <c r="B33" s="34" t="s">
        <v>545</v>
      </c>
      <c r="C33" s="33" t="s">
        <v>184</v>
      </c>
      <c r="D33" s="33">
        <f t="shared" si="0"/>
        <v>0</v>
      </c>
      <c r="E33" s="39" t="str">
        <f>IF(ISNUMBER(SEARCH($A33,INDEX(Index_CT!$D$2:$D$36,MATCH(E$3,Index_CT!$A$2:$A$36,0)))),"X","")</f>
        <v/>
      </c>
      <c r="F33" s="39" t="str">
        <f>IF(ISNUMBER(SEARCH($A33,INDEX(Index_CT!$D$2:$D$36,MATCH(F$3,Index_CT!$A$2:$A$36,0)))),"X","")</f>
        <v/>
      </c>
      <c r="G33" s="39" t="str">
        <f>IF(ISNUMBER(SEARCH($A33,INDEX(Index_CT!$D$2:$D$36,MATCH(G$3,Index_CT!$A$2:$A$36,0)))),"X","")</f>
        <v/>
      </c>
      <c r="H33" s="39" t="str">
        <f>IF(ISNUMBER(SEARCH($A33,INDEX(Index_CT!$D$2:$D$36,MATCH(H$3,Index_CT!$A$2:$A$36,0)))),"X","")</f>
        <v/>
      </c>
      <c r="I33" s="39" t="str">
        <f>IF(ISNUMBER(SEARCH($A33,INDEX(Index_CT!$D$2:$D$36,MATCH(I$3,Index_CT!$A$2:$A$36,0)))),"X","")</f>
        <v/>
      </c>
      <c r="J33" s="39" t="str">
        <f>IF(ISNUMBER(SEARCH($A33,INDEX(Index_CT!$D$2:$D$36,MATCH(J$3,Index_CT!$A$2:$A$36,0)))),"X","")</f>
        <v/>
      </c>
      <c r="K33" s="39" t="str">
        <f>IF(ISNUMBER(SEARCH($A33,INDEX(Index_CT!$D$2:$D$36,MATCH(K$3,Index_CT!$A$2:$A$36,0)))),"X","")</f>
        <v/>
      </c>
      <c r="L33" s="39" t="str">
        <f>IF(ISNUMBER(SEARCH($A33,INDEX(Index_CT!$D$2:$D$36,MATCH(L$3,Index_CT!$A$2:$A$36,0)))),"X","")</f>
        <v/>
      </c>
      <c r="M33" s="39" t="str">
        <f>IF(ISNUMBER(SEARCH($A33,INDEX(Index_CT!$D$2:$D$36,MATCH(M$3,Index_CT!$A$2:$A$36,0)))),"X","")</f>
        <v/>
      </c>
      <c r="N33" s="39" t="str">
        <f>IF(ISNUMBER(SEARCH($A33,INDEX(Index_CT!$D$2:$D$36,MATCH(N$3,Index_CT!$A$2:$A$36,0)))),"X","")</f>
        <v/>
      </c>
      <c r="O33" s="39" t="str">
        <f>IF(ISNUMBER(SEARCH($A33,INDEX(Index_CT!$D$2:$D$36,MATCH(O$3,Index_CT!$A$2:$A$36,0)))),"X","")</f>
        <v/>
      </c>
      <c r="P33" s="39" t="str">
        <f>IF(ISNUMBER(SEARCH($A33,INDEX(Index_CT!$D$2:$D$36,MATCH(P$3,Index_CT!$A$2:$A$36,0)))),"X","")</f>
        <v/>
      </c>
      <c r="Q33" s="39" t="str">
        <f>IF(ISNUMBER(SEARCH($A33,INDEX(Index_CT!$D$2:$D$36,MATCH(Q$3,Index_CT!$A$2:$A$36,0)))),"X","")</f>
        <v/>
      </c>
      <c r="R33" s="39" t="str">
        <f>IF(ISNUMBER(SEARCH($A33,INDEX(Index_CT!$D$2:$D$36,MATCH(R$3,Index_CT!$A$2:$A$36,0)))),"X","")</f>
        <v/>
      </c>
      <c r="S33" s="39" t="str">
        <f>IF(ISNUMBER(SEARCH($A33,INDEX(Index_CT!$D$2:$D$36,MATCH(S$3,Index_CT!$A$2:$A$36,0)))),"X","")</f>
        <v/>
      </c>
      <c r="T33" s="39" t="str">
        <f>IF(ISNUMBER(SEARCH($A33,INDEX(Index_CT!$D$2:$D$36,MATCH(T$3,Index_CT!$A$2:$A$36,0)))),"X","")</f>
        <v/>
      </c>
      <c r="U33" s="39" t="str">
        <f>IF(ISNUMBER(SEARCH($A33,INDEX(Index_CT!$D$2:$D$36,MATCH(U$3,Index_CT!$A$2:$A$36,0)))),"X","")</f>
        <v/>
      </c>
      <c r="V33" s="39" t="str">
        <f>IF(ISNUMBER(SEARCH($A33,INDEX(Index_CT!$D$2:$D$36,MATCH(V$3,Index_CT!$A$2:$A$36,0)))),"X","")</f>
        <v/>
      </c>
      <c r="W33" s="39" t="str">
        <f>IF(ISNUMBER(SEARCH($A33,INDEX(Index_CT!$D$2:$D$36,MATCH(W$3,Index_CT!$A$2:$A$36,0)))),"X","")</f>
        <v/>
      </c>
      <c r="X33" s="39" t="str">
        <f>IF(ISNUMBER(SEARCH($A33,INDEX(Index_CT!$D$2:$D$36,MATCH(X$3,Index_CT!$A$2:$A$36,0)))),"X","")</f>
        <v/>
      </c>
      <c r="Y33" s="39" t="str">
        <f>IF(ISNUMBER(SEARCH($A33,INDEX(Index_CT!$D$2:$D$36,MATCH(Y$3,Index_CT!$A$2:$A$36,0)))),"X","")</f>
        <v/>
      </c>
      <c r="Z33" s="39" t="str">
        <f>IF(ISNUMBER(SEARCH($A33,INDEX(Index_CT!$D$2:$D$36,MATCH(Z$3,Index_CT!$A$2:$A$36,0)))),"X","")</f>
        <v/>
      </c>
      <c r="AA33" s="39" t="str">
        <f>IF(ISNUMBER(SEARCH($A33,INDEX(Index_CT!$D$2:$D$36,MATCH(AA$3,Index_CT!$A$2:$A$36,0)))),"X","")</f>
        <v/>
      </c>
      <c r="AB33" s="39" t="str">
        <f>IF(ISNUMBER(SEARCH($A33,INDEX(Index_CT!$D$2:$D$36,MATCH(AB$3,Index_CT!$A$2:$A$36,0)))),"X","")</f>
        <v/>
      </c>
      <c r="AC33" s="39" t="str">
        <f>IF(ISNUMBER(SEARCH($A33,INDEX(Index_CT!$D$2:$D$36,MATCH(AC$3,Index_CT!$A$2:$A$36,0)))),"X","")</f>
        <v/>
      </c>
      <c r="AD33" s="39" t="str">
        <f>IF(ISNUMBER(SEARCH($A33,INDEX(Index_CT!$D$2:$D$36,MATCH(AD$3,Index_CT!$A$2:$A$36,0)))),"X","")</f>
        <v/>
      </c>
      <c r="AE33" s="39" t="str">
        <f>IF(ISNUMBER(SEARCH($A33,INDEX(Index_CT!$D$2:$D$36,MATCH(AE$3,Index_CT!$A$2:$A$36,0)))),"X","")</f>
        <v/>
      </c>
      <c r="AF33" s="39" t="str">
        <f>IF(ISNUMBER(SEARCH($A33,INDEX(Index_CT!$D$2:$D$36,MATCH(AF$3,Index_CT!$A$2:$A$36,0)))),"X","")</f>
        <v/>
      </c>
      <c r="AG33" s="39" t="str">
        <f>IF(ISNUMBER(SEARCH($A33,INDEX(Index_CT!$D$2:$D$36,MATCH(AG$3,Index_CT!$A$2:$A$36,0)))),"X","")</f>
        <v/>
      </c>
      <c r="AH33" s="39" t="str">
        <f>IF(ISNUMBER(SEARCH($A33,INDEX(Index_CT!$D$2:$D$36,MATCH(AH$3,Index_CT!$A$2:$A$36,0)))),"X","")</f>
        <v/>
      </c>
      <c r="AI33" s="39" t="str">
        <f>IF(ISNUMBER(SEARCH($A33,INDEX(Index_CT!$D$2:$D$36,MATCH(AI$3,Index_CT!$A$2:$A$36,0)))),"X","")</f>
        <v/>
      </c>
      <c r="AJ33" s="39" t="str">
        <f>IF(ISNUMBER(SEARCH($A33,INDEX(Index_CT!$D$2:$D$36,MATCH(AJ$3,Index_CT!$A$2:$A$36,0)))),"X","")</f>
        <v/>
      </c>
      <c r="AK33" s="39" t="str">
        <f>IF(ISNUMBER(SEARCH($A33,INDEX(Index_CT!$D$2:$D$36,MATCH(AK$3,Index_CT!$A$2:$A$36,0)))),"X","")</f>
        <v/>
      </c>
      <c r="AL33" s="39" t="str">
        <f>IF(ISNUMBER(SEARCH($A33,INDEX(Index_CT!$D$2:$D$36,MATCH(AL$3,Index_CT!$A$2:$A$36,0)))),"X","")</f>
        <v/>
      </c>
      <c r="AM33" s="39" t="str">
        <f>IF(ISNUMBER(SEARCH($A33,INDEX(Index_CT!$D$2:$D$36,MATCH(AM$3,Index_CT!$A$2:$A$36,0)))),"X","")</f>
        <v/>
      </c>
      <c r="AN33" s="39" t="str">
        <f>IF(ISNUMBER(SEARCH($A33,INDEX(Index_CT!$D$2:$D$36,MATCH(AN$3,Index_CT!$A$2:$A$36,0)))),"X","")</f>
        <v/>
      </c>
      <c r="AO33" s="39" t="str">
        <f>IF(ISNUMBER(SEARCH($A33,INDEX(Index_CT!$D$2:$D$36,MATCH(AO$3,Index_CT!$A$2:$A$36,0)))),"X","")</f>
        <v/>
      </c>
      <c r="AP33" s="39" t="str">
        <f>IF(ISNUMBER(SEARCH($A33,INDEX(Index_CT!$D$2:$D$36,MATCH(AP$3,Index_CT!$A$2:$A$36,0)))),"X","")</f>
        <v/>
      </c>
      <c r="AQ33" s="39" t="str">
        <f>IF(ISNUMBER(SEARCH($A33,INDEX(Index_CT!$D$2:$D$36,MATCH(AQ$3,Index_CT!$A$2:$A$36,0)))),"X","")</f>
        <v/>
      </c>
      <c r="AR33" s="39" t="str">
        <f>IF(ISNUMBER(SEARCH($A33,INDEX(Index_CT!$D$2:$D$36,MATCH(AR$3,Index_CT!$A$2:$A$36,0)))),"X","")</f>
        <v/>
      </c>
      <c r="AS33" s="39" t="str">
        <f>IF(ISNUMBER(SEARCH($A33,INDEX(Index_CT!$D$2:$D$36,MATCH(AS$3,Index_CT!$A$2:$A$36,0)))),"X","")</f>
        <v/>
      </c>
      <c r="AT33" s="39" t="str">
        <f>IF(ISNUMBER(SEARCH($A33,INDEX(Index_CT!$D$2:$D$36,MATCH(AT$3,Index_CT!$A$2:$A$36,0)))),"X","")</f>
        <v/>
      </c>
      <c r="AU33" s="39" t="str">
        <f>IF(ISNUMBER(SEARCH($A33,INDEX(Index_CT!$D$2:$D$36,MATCH(AU$3,Index_CT!$A$2:$A$36,0)))),"X","")</f>
        <v/>
      </c>
      <c r="AV33" s="39" t="str">
        <f>IF(ISNUMBER(SEARCH($A33,INDEX(Index_CT!$D$2:$D$36,MATCH(AV$3,Index_CT!$A$2:$A$36,0)))),"X","")</f>
        <v/>
      </c>
      <c r="AW33" s="39" t="str">
        <f>IF(ISNUMBER(SEARCH($A33,INDEX(Index_CT!$D$2:$D$36,MATCH(AW$3,Index_CT!$A$2:$A$36,0)))),"X","")</f>
        <v/>
      </c>
      <c r="AX33" s="39" t="str">
        <f>IF(ISNUMBER(SEARCH($A33,INDEX(Index_CT!$D$2:$D$36,MATCH(AX$3,Index_CT!$A$2:$A$36,0)))),"X","")</f>
        <v/>
      </c>
      <c r="AY33" s="39" t="str">
        <f>IF(ISNUMBER(SEARCH($A33,INDEX(Index_CT!$D$2:$D$36,MATCH(AY$3,Index_CT!$A$2:$A$36,0)))),"X","")</f>
        <v/>
      </c>
      <c r="AZ33" s="39" t="str">
        <f>IF(ISNUMBER(SEARCH($A33,INDEX(Index_CT!$D$2:$D$36,MATCH(AZ$3,Index_CT!$A$2:$A$36,0)))),"X","")</f>
        <v/>
      </c>
      <c r="BA33" s="39" t="str">
        <f>IF(ISNUMBER(SEARCH($A33,INDEX(Index_CT!$D$2:$D$36,MATCH(BA$3,Index_CT!$A$2:$A$36,0)))),"X","")</f>
        <v/>
      </c>
      <c r="BB33" s="39" t="str">
        <f>IF(ISNUMBER(SEARCH($A33,INDEX(Index_CT!$D$2:$D$36,MATCH(BB$3,Index_CT!$A$2:$A$36,0)))),"X","")</f>
        <v/>
      </c>
      <c r="BC33" s="39" t="str">
        <f>IF(ISNUMBER(SEARCH($A33,INDEX(Index_CT!$D$2:$D$36,MATCH(BC$3,Index_CT!$A$2:$A$36,0)))),"X","")</f>
        <v/>
      </c>
      <c r="BD33" s="39" t="str">
        <f>IF(ISNUMBER(SEARCH($A33,INDEX(Index_CT!$D$2:$D$36,MATCH(BD$3,Index_CT!$A$2:$A$36,0)))),"X","")</f>
        <v/>
      </c>
      <c r="BE33" s="39" t="str">
        <f>IF(ISNUMBER(SEARCH($A33,INDEX(Index_CT!$D$2:$D$36,MATCH(BE$3,Index_CT!$A$2:$A$36,0)))),"X","")</f>
        <v/>
      </c>
      <c r="BF33" s="39" t="str">
        <f>IF(ISNUMBER(SEARCH($A33,INDEX(Index_CT!$D$2:$D$36,MATCH(BF$3,Index_CT!$A$2:$A$36,0)))),"X","")</f>
        <v/>
      </c>
      <c r="BG33" s="39" t="str">
        <f>IF(ISNUMBER(SEARCH($A33,INDEX(Index_CT!$D$2:$D$36,MATCH(BG$3,Index_CT!$A$2:$A$36,0)))),"X","")</f>
        <v/>
      </c>
      <c r="BH33" s="39" t="str">
        <f>IF(ISNUMBER(SEARCH($A33,INDEX(Index_CT!$D$2:$D$36,MATCH(BH$3,Index_CT!$A$2:$A$36,0)))),"X","")</f>
        <v/>
      </c>
      <c r="BI33" s="39" t="str">
        <f>IF(ISNUMBER(SEARCH($A33,INDEX(Index_CT!$D$2:$D$36,MATCH(BI$3,Index_CT!$A$2:$A$36,0)))),"X","")</f>
        <v/>
      </c>
      <c r="BJ33" s="39" t="str">
        <f>IF(ISNUMBER(SEARCH($A33,INDEX(Index_CT!$D$2:$D$36,MATCH(BJ$3,Index_CT!$A$2:$A$36,0)))),"X","")</f>
        <v/>
      </c>
      <c r="BK33" s="39" t="str">
        <f>IF(ISNUMBER(SEARCH($A33,INDEX(Index_CT!$D$2:$D$36,MATCH(BK$3,Index_CT!$A$2:$A$36,0)))),"X","")</f>
        <v/>
      </c>
      <c r="BL33" s="39" t="str">
        <f>IF(ISNUMBER(SEARCH($A33,INDEX(Index_CT!$D$2:$D$36,MATCH(BL$3,Index_CT!$A$2:$A$36,0)))),"X","")</f>
        <v/>
      </c>
      <c r="BM33" s="39" t="str">
        <f>IF(ISNUMBER(SEARCH($A33,INDEX(Index_CT!$D$2:$D$36,MATCH(BM$3,Index_CT!$A$2:$A$36,0)))),"X","")</f>
        <v/>
      </c>
      <c r="BN33" s="39" t="str">
        <f>IF(ISNUMBER(SEARCH($A33,INDEX(Index_CT!$D$2:$D$36,MATCH(BN$3,Index_CT!$A$2:$A$36,0)))),"X","")</f>
        <v/>
      </c>
      <c r="BO33" s="39" t="str">
        <f>IF(ISNUMBER(SEARCH($A33,INDEX(Index_CT!$D$2:$D$36,MATCH(BO$3,Index_CT!$A$2:$A$36,0)))),"X","")</f>
        <v/>
      </c>
      <c r="BP33" s="39" t="str">
        <f>IF(ISNUMBER(SEARCH($A33,INDEX(Index_CT!$D$2:$D$36,MATCH(BP$3,Index_CT!$A$2:$A$36,0)))),"X","")</f>
        <v/>
      </c>
      <c r="BQ33" s="39" t="str">
        <f>IF(ISNUMBER(SEARCH($A33,INDEX(Index_CT!$D$2:$D$36,MATCH(BQ$3,Index_CT!$A$2:$A$36,0)))),"X","")</f>
        <v/>
      </c>
      <c r="BR33" s="39" t="str">
        <f>IF(ISNUMBER(SEARCH($A33,INDEX(Index_CT!$D$2:$D$36,MATCH(BR$3,Index_CT!$A$2:$A$36,0)))),"X","")</f>
        <v/>
      </c>
    </row>
    <row r="34" spans="1:70" x14ac:dyDescent="0.25">
      <c r="A34" s="33" t="s">
        <v>546</v>
      </c>
      <c r="B34" s="34" t="s">
        <v>547</v>
      </c>
      <c r="C34" s="33" t="s">
        <v>53</v>
      </c>
      <c r="D34" s="33">
        <f t="shared" si="0"/>
        <v>0</v>
      </c>
      <c r="E34" s="39" t="str">
        <f>IF(ISNUMBER(SEARCH($A34,INDEX(Index_CT!$D$2:$D$36,MATCH(E$3,Index_CT!$A$2:$A$36,0)))),"X","")</f>
        <v/>
      </c>
      <c r="F34" s="39" t="str">
        <f>IF(ISNUMBER(SEARCH($A34,INDEX(Index_CT!$D$2:$D$36,MATCH(F$3,Index_CT!$A$2:$A$36,0)))),"X","")</f>
        <v/>
      </c>
      <c r="G34" s="39" t="str">
        <f>IF(ISNUMBER(SEARCH($A34,INDEX(Index_CT!$D$2:$D$36,MATCH(G$3,Index_CT!$A$2:$A$36,0)))),"X","")</f>
        <v/>
      </c>
      <c r="H34" s="39" t="str">
        <f>IF(ISNUMBER(SEARCH($A34,INDEX(Index_CT!$D$2:$D$36,MATCH(H$3,Index_CT!$A$2:$A$36,0)))),"X","")</f>
        <v/>
      </c>
      <c r="I34" s="39" t="str">
        <f>IF(ISNUMBER(SEARCH($A34,INDEX(Index_CT!$D$2:$D$36,MATCH(I$3,Index_CT!$A$2:$A$36,0)))),"X","")</f>
        <v/>
      </c>
      <c r="J34" s="39" t="str">
        <f>IF(ISNUMBER(SEARCH($A34,INDEX(Index_CT!$D$2:$D$36,MATCH(J$3,Index_CT!$A$2:$A$36,0)))),"X","")</f>
        <v/>
      </c>
      <c r="K34" s="39" t="str">
        <f>IF(ISNUMBER(SEARCH($A34,INDEX(Index_CT!$D$2:$D$36,MATCH(K$3,Index_CT!$A$2:$A$36,0)))),"X","")</f>
        <v/>
      </c>
      <c r="L34" s="39" t="str">
        <f>IF(ISNUMBER(SEARCH($A34,INDEX(Index_CT!$D$2:$D$36,MATCH(L$3,Index_CT!$A$2:$A$36,0)))),"X","")</f>
        <v/>
      </c>
      <c r="M34" s="39" t="str">
        <f>IF(ISNUMBER(SEARCH($A34,INDEX(Index_CT!$D$2:$D$36,MATCH(M$3,Index_CT!$A$2:$A$36,0)))),"X","")</f>
        <v/>
      </c>
      <c r="N34" s="39" t="str">
        <f>IF(ISNUMBER(SEARCH($A34,INDEX(Index_CT!$D$2:$D$36,MATCH(N$3,Index_CT!$A$2:$A$36,0)))),"X","")</f>
        <v/>
      </c>
      <c r="O34" s="39" t="str">
        <f>IF(ISNUMBER(SEARCH($A34,INDEX(Index_CT!$D$2:$D$36,MATCH(O$3,Index_CT!$A$2:$A$36,0)))),"X","")</f>
        <v/>
      </c>
      <c r="P34" s="39" t="str">
        <f>IF(ISNUMBER(SEARCH($A34,INDEX(Index_CT!$D$2:$D$36,MATCH(P$3,Index_CT!$A$2:$A$36,0)))),"X","")</f>
        <v/>
      </c>
      <c r="Q34" s="39" t="str">
        <f>IF(ISNUMBER(SEARCH($A34,INDEX(Index_CT!$D$2:$D$36,MATCH(Q$3,Index_CT!$A$2:$A$36,0)))),"X","")</f>
        <v/>
      </c>
      <c r="R34" s="39" t="str">
        <f>IF(ISNUMBER(SEARCH($A34,INDEX(Index_CT!$D$2:$D$36,MATCH(R$3,Index_CT!$A$2:$A$36,0)))),"X","")</f>
        <v/>
      </c>
      <c r="S34" s="39" t="str">
        <f>IF(ISNUMBER(SEARCH($A34,INDEX(Index_CT!$D$2:$D$36,MATCH(S$3,Index_CT!$A$2:$A$36,0)))),"X","")</f>
        <v/>
      </c>
      <c r="T34" s="39" t="str">
        <f>IF(ISNUMBER(SEARCH($A34,INDEX(Index_CT!$D$2:$D$36,MATCH(T$3,Index_CT!$A$2:$A$36,0)))),"X","")</f>
        <v/>
      </c>
      <c r="U34" s="39" t="str">
        <f>IF(ISNUMBER(SEARCH($A34,INDEX(Index_CT!$D$2:$D$36,MATCH(U$3,Index_CT!$A$2:$A$36,0)))),"X","")</f>
        <v/>
      </c>
      <c r="V34" s="39" t="str">
        <f>IF(ISNUMBER(SEARCH($A34,INDEX(Index_CT!$D$2:$D$36,MATCH(V$3,Index_CT!$A$2:$A$36,0)))),"X","")</f>
        <v/>
      </c>
      <c r="W34" s="39" t="str">
        <f>IF(ISNUMBER(SEARCH($A34,INDEX(Index_CT!$D$2:$D$36,MATCH(W$3,Index_CT!$A$2:$A$36,0)))),"X","")</f>
        <v/>
      </c>
      <c r="X34" s="39" t="str">
        <f>IF(ISNUMBER(SEARCH($A34,INDEX(Index_CT!$D$2:$D$36,MATCH(X$3,Index_CT!$A$2:$A$36,0)))),"X","")</f>
        <v/>
      </c>
      <c r="Y34" s="39" t="str">
        <f>IF(ISNUMBER(SEARCH($A34,INDEX(Index_CT!$D$2:$D$36,MATCH(Y$3,Index_CT!$A$2:$A$36,0)))),"X","")</f>
        <v/>
      </c>
      <c r="Z34" s="39" t="str">
        <f>IF(ISNUMBER(SEARCH($A34,INDEX(Index_CT!$D$2:$D$36,MATCH(Z$3,Index_CT!$A$2:$A$36,0)))),"X","")</f>
        <v/>
      </c>
      <c r="AA34" s="39" t="str">
        <f>IF(ISNUMBER(SEARCH($A34,INDEX(Index_CT!$D$2:$D$36,MATCH(AA$3,Index_CT!$A$2:$A$36,0)))),"X","")</f>
        <v/>
      </c>
      <c r="AB34" s="39" t="str">
        <f>IF(ISNUMBER(SEARCH($A34,INDEX(Index_CT!$D$2:$D$36,MATCH(AB$3,Index_CT!$A$2:$A$36,0)))),"X","")</f>
        <v/>
      </c>
      <c r="AC34" s="39" t="str">
        <f>IF(ISNUMBER(SEARCH($A34,INDEX(Index_CT!$D$2:$D$36,MATCH(AC$3,Index_CT!$A$2:$A$36,0)))),"X","")</f>
        <v/>
      </c>
      <c r="AD34" s="39" t="str">
        <f>IF(ISNUMBER(SEARCH($A34,INDEX(Index_CT!$D$2:$D$36,MATCH(AD$3,Index_CT!$A$2:$A$36,0)))),"X","")</f>
        <v/>
      </c>
      <c r="AE34" s="39" t="str">
        <f>IF(ISNUMBER(SEARCH($A34,INDEX(Index_CT!$D$2:$D$36,MATCH(AE$3,Index_CT!$A$2:$A$36,0)))),"X","")</f>
        <v/>
      </c>
      <c r="AF34" s="39" t="str">
        <f>IF(ISNUMBER(SEARCH($A34,INDEX(Index_CT!$D$2:$D$36,MATCH(AF$3,Index_CT!$A$2:$A$36,0)))),"X","")</f>
        <v/>
      </c>
      <c r="AG34" s="39" t="str">
        <f>IF(ISNUMBER(SEARCH($A34,INDEX(Index_CT!$D$2:$D$36,MATCH(AG$3,Index_CT!$A$2:$A$36,0)))),"X","")</f>
        <v/>
      </c>
      <c r="AH34" s="39" t="str">
        <f>IF(ISNUMBER(SEARCH($A34,INDEX(Index_CT!$D$2:$D$36,MATCH(AH$3,Index_CT!$A$2:$A$36,0)))),"X","")</f>
        <v/>
      </c>
      <c r="AI34" s="39" t="str">
        <f>IF(ISNUMBER(SEARCH($A34,INDEX(Index_CT!$D$2:$D$36,MATCH(AI$3,Index_CT!$A$2:$A$36,0)))),"X","")</f>
        <v/>
      </c>
      <c r="AJ34" s="39" t="str">
        <f>IF(ISNUMBER(SEARCH($A34,INDEX(Index_CT!$D$2:$D$36,MATCH(AJ$3,Index_CT!$A$2:$A$36,0)))),"X","")</f>
        <v/>
      </c>
      <c r="AK34" s="39" t="str">
        <f>IF(ISNUMBER(SEARCH($A34,INDEX(Index_CT!$D$2:$D$36,MATCH(AK$3,Index_CT!$A$2:$A$36,0)))),"X","")</f>
        <v/>
      </c>
      <c r="AL34" s="39" t="str">
        <f>IF(ISNUMBER(SEARCH($A34,INDEX(Index_CT!$D$2:$D$36,MATCH(AL$3,Index_CT!$A$2:$A$36,0)))),"X","")</f>
        <v/>
      </c>
      <c r="AM34" s="39" t="str">
        <f>IF(ISNUMBER(SEARCH($A34,INDEX(Index_CT!$D$2:$D$36,MATCH(AM$3,Index_CT!$A$2:$A$36,0)))),"X","")</f>
        <v/>
      </c>
      <c r="AN34" s="39" t="str">
        <f>IF(ISNUMBER(SEARCH($A34,INDEX(Index_CT!$D$2:$D$36,MATCH(AN$3,Index_CT!$A$2:$A$36,0)))),"X","")</f>
        <v/>
      </c>
      <c r="AO34" s="39" t="str">
        <f>IF(ISNUMBER(SEARCH($A34,INDEX(Index_CT!$D$2:$D$36,MATCH(AO$3,Index_CT!$A$2:$A$36,0)))),"X","")</f>
        <v/>
      </c>
      <c r="AP34" s="39" t="str">
        <f>IF(ISNUMBER(SEARCH($A34,INDEX(Index_CT!$D$2:$D$36,MATCH(AP$3,Index_CT!$A$2:$A$36,0)))),"X","")</f>
        <v/>
      </c>
      <c r="AQ34" s="39" t="str">
        <f>IF(ISNUMBER(SEARCH($A34,INDEX(Index_CT!$D$2:$D$36,MATCH(AQ$3,Index_CT!$A$2:$A$36,0)))),"X","")</f>
        <v/>
      </c>
      <c r="AR34" s="39" t="str">
        <f>IF(ISNUMBER(SEARCH($A34,INDEX(Index_CT!$D$2:$D$36,MATCH(AR$3,Index_CT!$A$2:$A$36,0)))),"X","")</f>
        <v/>
      </c>
      <c r="AS34" s="39" t="str">
        <f>IF(ISNUMBER(SEARCH($A34,INDEX(Index_CT!$D$2:$D$36,MATCH(AS$3,Index_CT!$A$2:$A$36,0)))),"X","")</f>
        <v/>
      </c>
      <c r="AT34" s="39" t="str">
        <f>IF(ISNUMBER(SEARCH($A34,INDEX(Index_CT!$D$2:$D$36,MATCH(AT$3,Index_CT!$A$2:$A$36,0)))),"X","")</f>
        <v/>
      </c>
      <c r="AU34" s="39" t="str">
        <f>IF(ISNUMBER(SEARCH($A34,INDEX(Index_CT!$D$2:$D$36,MATCH(AU$3,Index_CT!$A$2:$A$36,0)))),"X","")</f>
        <v/>
      </c>
      <c r="AV34" s="39" t="str">
        <f>IF(ISNUMBER(SEARCH($A34,INDEX(Index_CT!$D$2:$D$36,MATCH(AV$3,Index_CT!$A$2:$A$36,0)))),"X","")</f>
        <v/>
      </c>
      <c r="AW34" s="39" t="str">
        <f>IF(ISNUMBER(SEARCH($A34,INDEX(Index_CT!$D$2:$D$36,MATCH(AW$3,Index_CT!$A$2:$A$36,0)))),"X","")</f>
        <v/>
      </c>
      <c r="AX34" s="39" t="str">
        <f>IF(ISNUMBER(SEARCH($A34,INDEX(Index_CT!$D$2:$D$36,MATCH(AX$3,Index_CT!$A$2:$A$36,0)))),"X","")</f>
        <v/>
      </c>
      <c r="AY34" s="39" t="str">
        <f>IF(ISNUMBER(SEARCH($A34,INDEX(Index_CT!$D$2:$D$36,MATCH(AY$3,Index_CT!$A$2:$A$36,0)))),"X","")</f>
        <v/>
      </c>
      <c r="AZ34" s="39" t="str">
        <f>IF(ISNUMBER(SEARCH($A34,INDEX(Index_CT!$D$2:$D$36,MATCH(AZ$3,Index_CT!$A$2:$A$36,0)))),"X","")</f>
        <v/>
      </c>
      <c r="BA34" s="39" t="str">
        <f>IF(ISNUMBER(SEARCH($A34,INDEX(Index_CT!$D$2:$D$36,MATCH(BA$3,Index_CT!$A$2:$A$36,0)))),"X","")</f>
        <v/>
      </c>
      <c r="BB34" s="39" t="str">
        <f>IF(ISNUMBER(SEARCH($A34,INDEX(Index_CT!$D$2:$D$36,MATCH(BB$3,Index_CT!$A$2:$A$36,0)))),"X","")</f>
        <v/>
      </c>
      <c r="BC34" s="39" t="str">
        <f>IF(ISNUMBER(SEARCH($A34,INDEX(Index_CT!$D$2:$D$36,MATCH(BC$3,Index_CT!$A$2:$A$36,0)))),"X","")</f>
        <v/>
      </c>
      <c r="BD34" s="39" t="str">
        <f>IF(ISNUMBER(SEARCH($A34,INDEX(Index_CT!$D$2:$D$36,MATCH(BD$3,Index_CT!$A$2:$A$36,0)))),"X","")</f>
        <v/>
      </c>
      <c r="BE34" s="39" t="str">
        <f>IF(ISNUMBER(SEARCH($A34,INDEX(Index_CT!$D$2:$D$36,MATCH(BE$3,Index_CT!$A$2:$A$36,0)))),"X","")</f>
        <v/>
      </c>
      <c r="BF34" s="39" t="str">
        <f>IF(ISNUMBER(SEARCH($A34,INDEX(Index_CT!$D$2:$D$36,MATCH(BF$3,Index_CT!$A$2:$A$36,0)))),"X","")</f>
        <v/>
      </c>
      <c r="BG34" s="39" t="str">
        <f>IF(ISNUMBER(SEARCH($A34,INDEX(Index_CT!$D$2:$D$36,MATCH(BG$3,Index_CT!$A$2:$A$36,0)))),"X","")</f>
        <v/>
      </c>
      <c r="BH34" s="39" t="str">
        <f>IF(ISNUMBER(SEARCH($A34,INDEX(Index_CT!$D$2:$D$36,MATCH(BH$3,Index_CT!$A$2:$A$36,0)))),"X","")</f>
        <v/>
      </c>
      <c r="BI34" s="39" t="str">
        <f>IF(ISNUMBER(SEARCH($A34,INDEX(Index_CT!$D$2:$D$36,MATCH(BI$3,Index_CT!$A$2:$A$36,0)))),"X","")</f>
        <v/>
      </c>
      <c r="BJ34" s="39" t="str">
        <f>IF(ISNUMBER(SEARCH($A34,INDEX(Index_CT!$D$2:$D$36,MATCH(BJ$3,Index_CT!$A$2:$A$36,0)))),"X","")</f>
        <v/>
      </c>
      <c r="BK34" s="39" t="str">
        <f>IF(ISNUMBER(SEARCH($A34,INDEX(Index_CT!$D$2:$D$36,MATCH(BK$3,Index_CT!$A$2:$A$36,0)))),"X","")</f>
        <v/>
      </c>
      <c r="BL34" s="39" t="str">
        <f>IF(ISNUMBER(SEARCH($A34,INDEX(Index_CT!$D$2:$D$36,MATCH(BL$3,Index_CT!$A$2:$A$36,0)))),"X","")</f>
        <v/>
      </c>
      <c r="BM34" s="39" t="str">
        <f>IF(ISNUMBER(SEARCH($A34,INDEX(Index_CT!$D$2:$D$36,MATCH(BM$3,Index_CT!$A$2:$A$36,0)))),"X","")</f>
        <v/>
      </c>
      <c r="BN34" s="39" t="str">
        <f>IF(ISNUMBER(SEARCH($A34,INDEX(Index_CT!$D$2:$D$36,MATCH(BN$3,Index_CT!$A$2:$A$36,0)))),"X","")</f>
        <v/>
      </c>
      <c r="BO34" s="39" t="str">
        <f>IF(ISNUMBER(SEARCH($A34,INDEX(Index_CT!$D$2:$D$36,MATCH(BO$3,Index_CT!$A$2:$A$36,0)))),"X","")</f>
        <v/>
      </c>
      <c r="BP34" s="39" t="str">
        <f>IF(ISNUMBER(SEARCH($A34,INDEX(Index_CT!$D$2:$D$36,MATCH(BP$3,Index_CT!$A$2:$A$36,0)))),"X","")</f>
        <v/>
      </c>
      <c r="BQ34" s="39" t="str">
        <f>IF(ISNUMBER(SEARCH($A34,INDEX(Index_CT!$D$2:$D$36,MATCH(BQ$3,Index_CT!$A$2:$A$36,0)))),"X","")</f>
        <v/>
      </c>
      <c r="BR34" s="39" t="str">
        <f>IF(ISNUMBER(SEARCH($A34,INDEX(Index_CT!$D$2:$D$36,MATCH(BR$3,Index_CT!$A$2:$A$36,0)))),"X","")</f>
        <v/>
      </c>
    </row>
    <row r="35" spans="1:70" ht="26.25" customHeight="1" x14ac:dyDescent="0.25">
      <c r="A35" s="33" t="s">
        <v>451</v>
      </c>
      <c r="B35" s="34" t="s">
        <v>548</v>
      </c>
      <c r="C35" s="33" t="s">
        <v>83</v>
      </c>
      <c r="D35" s="33">
        <f t="shared" si="0"/>
        <v>0</v>
      </c>
      <c r="E35" s="39" t="str">
        <f>IF(ISNUMBER(SEARCH($A35,INDEX(Index_CT!$D$2:$D$36,MATCH(E$3,Index_CT!$A$2:$A$36,0)))),"X","")</f>
        <v/>
      </c>
      <c r="F35" s="39" t="str">
        <f>IF(ISNUMBER(SEARCH($A35,INDEX(Index_CT!$D$2:$D$36,MATCH(F$3,Index_CT!$A$2:$A$36,0)))),"X","")</f>
        <v/>
      </c>
      <c r="G35" s="39" t="str">
        <f>IF(ISNUMBER(SEARCH($A35,INDEX(Index_CT!$D$2:$D$36,MATCH(G$3,Index_CT!$A$2:$A$36,0)))),"X","")</f>
        <v/>
      </c>
      <c r="H35" s="39" t="str">
        <f>IF(ISNUMBER(SEARCH($A35,INDEX(Index_CT!$D$2:$D$36,MATCH(H$3,Index_CT!$A$2:$A$36,0)))),"X","")</f>
        <v/>
      </c>
      <c r="I35" s="39" t="str">
        <f>IF(ISNUMBER(SEARCH($A35,INDEX(Index_CT!$D$2:$D$36,MATCH(I$3,Index_CT!$A$2:$A$36,0)))),"X","")</f>
        <v/>
      </c>
      <c r="J35" s="39" t="str">
        <f>IF(ISNUMBER(SEARCH($A35,INDEX(Index_CT!$D$2:$D$36,MATCH(J$3,Index_CT!$A$2:$A$36,0)))),"X","")</f>
        <v/>
      </c>
      <c r="K35" s="39" t="str">
        <f>IF(ISNUMBER(SEARCH($A35,INDEX(Index_CT!$D$2:$D$36,MATCH(K$3,Index_CT!$A$2:$A$36,0)))),"X","")</f>
        <v/>
      </c>
      <c r="L35" s="39" t="str">
        <f>IF(ISNUMBER(SEARCH($A35,INDEX(Index_CT!$D$2:$D$36,MATCH(L$3,Index_CT!$A$2:$A$36,0)))),"X","")</f>
        <v/>
      </c>
      <c r="M35" s="39" t="str">
        <f>IF(ISNUMBER(SEARCH($A35,INDEX(Index_CT!$D$2:$D$36,MATCH(M$3,Index_CT!$A$2:$A$36,0)))),"X","")</f>
        <v/>
      </c>
      <c r="N35" s="39" t="str">
        <f>IF(ISNUMBER(SEARCH($A35,INDEX(Index_CT!$D$2:$D$36,MATCH(N$3,Index_CT!$A$2:$A$36,0)))),"X","")</f>
        <v/>
      </c>
      <c r="O35" s="39" t="str">
        <f>IF(ISNUMBER(SEARCH($A35,INDEX(Index_CT!$D$2:$D$36,MATCH(O$3,Index_CT!$A$2:$A$36,0)))),"X","")</f>
        <v/>
      </c>
      <c r="P35" s="39" t="str">
        <f>IF(ISNUMBER(SEARCH($A35,INDEX(Index_CT!$D$2:$D$36,MATCH(P$3,Index_CT!$A$2:$A$36,0)))),"X","")</f>
        <v/>
      </c>
      <c r="Q35" s="39" t="str">
        <f>IF(ISNUMBER(SEARCH($A35,INDEX(Index_CT!$D$2:$D$36,MATCH(Q$3,Index_CT!$A$2:$A$36,0)))),"X","")</f>
        <v/>
      </c>
      <c r="R35" s="39" t="str">
        <f>IF(ISNUMBER(SEARCH($A35,INDEX(Index_CT!$D$2:$D$36,MATCH(R$3,Index_CT!$A$2:$A$36,0)))),"X","")</f>
        <v/>
      </c>
      <c r="S35" s="39" t="str">
        <f>IF(ISNUMBER(SEARCH($A35,INDEX(Index_CT!$D$2:$D$36,MATCH(S$3,Index_CT!$A$2:$A$36,0)))),"X","")</f>
        <v/>
      </c>
      <c r="T35" s="39" t="str">
        <f>IF(ISNUMBER(SEARCH($A35,INDEX(Index_CT!$D$2:$D$36,MATCH(T$3,Index_CT!$A$2:$A$36,0)))),"X","")</f>
        <v/>
      </c>
      <c r="U35" s="39" t="str">
        <f>IF(ISNUMBER(SEARCH($A35,INDEX(Index_CT!$D$2:$D$36,MATCH(U$3,Index_CT!$A$2:$A$36,0)))),"X","")</f>
        <v/>
      </c>
      <c r="V35" s="39" t="str">
        <f>IF(ISNUMBER(SEARCH($A35,INDEX(Index_CT!$D$2:$D$36,MATCH(V$3,Index_CT!$A$2:$A$36,0)))),"X","")</f>
        <v/>
      </c>
      <c r="W35" s="39" t="str">
        <f>IF(ISNUMBER(SEARCH($A35,INDEX(Index_CT!$D$2:$D$36,MATCH(W$3,Index_CT!$A$2:$A$36,0)))),"X","")</f>
        <v/>
      </c>
      <c r="X35" s="39" t="str">
        <f>IF(ISNUMBER(SEARCH($A35,INDEX(Index_CT!$D$2:$D$36,MATCH(X$3,Index_CT!$A$2:$A$36,0)))),"X","")</f>
        <v/>
      </c>
      <c r="Y35" s="39" t="str">
        <f>IF(ISNUMBER(SEARCH($A35,INDEX(Index_CT!$D$2:$D$36,MATCH(Y$3,Index_CT!$A$2:$A$36,0)))),"X","")</f>
        <v/>
      </c>
      <c r="Z35" s="39" t="str">
        <f>IF(ISNUMBER(SEARCH($A35,INDEX(Index_CT!$D$2:$D$36,MATCH(Z$3,Index_CT!$A$2:$A$36,0)))),"X","")</f>
        <v/>
      </c>
      <c r="AA35" s="39" t="str">
        <f>IF(ISNUMBER(SEARCH($A35,INDEX(Index_CT!$D$2:$D$36,MATCH(AA$3,Index_CT!$A$2:$A$36,0)))),"X","")</f>
        <v/>
      </c>
      <c r="AB35" s="39" t="str">
        <f>IF(ISNUMBER(SEARCH($A35,INDEX(Index_CT!$D$2:$D$36,MATCH(AB$3,Index_CT!$A$2:$A$36,0)))),"X","")</f>
        <v/>
      </c>
      <c r="AC35" s="39" t="str">
        <f>IF(ISNUMBER(SEARCH($A35,INDEX(Index_CT!$D$2:$D$36,MATCH(AC$3,Index_CT!$A$2:$A$36,0)))),"X","")</f>
        <v/>
      </c>
      <c r="AD35" s="39" t="str">
        <f>IF(ISNUMBER(SEARCH($A35,INDEX(Index_CT!$D$2:$D$36,MATCH(AD$3,Index_CT!$A$2:$A$36,0)))),"X","")</f>
        <v/>
      </c>
      <c r="AE35" s="39" t="str">
        <f>IF(ISNUMBER(SEARCH($A35,INDEX(Index_CT!$D$2:$D$36,MATCH(AE$3,Index_CT!$A$2:$A$36,0)))),"X","")</f>
        <v/>
      </c>
      <c r="AF35" s="39" t="str">
        <f>IF(ISNUMBER(SEARCH($A35,INDEX(Index_CT!$D$2:$D$36,MATCH(AF$3,Index_CT!$A$2:$A$36,0)))),"X","")</f>
        <v/>
      </c>
      <c r="AG35" s="39" t="str">
        <f>IF(ISNUMBER(SEARCH($A35,INDEX(Index_CT!$D$2:$D$36,MATCH(AG$3,Index_CT!$A$2:$A$36,0)))),"X","")</f>
        <v/>
      </c>
      <c r="AH35" s="39" t="str">
        <f>IF(ISNUMBER(SEARCH($A35,INDEX(Index_CT!$D$2:$D$36,MATCH(AH$3,Index_CT!$A$2:$A$36,0)))),"X","")</f>
        <v/>
      </c>
      <c r="AI35" s="39" t="str">
        <f>IF(ISNUMBER(SEARCH($A35,INDEX(Index_CT!$D$2:$D$36,MATCH(AI$3,Index_CT!$A$2:$A$36,0)))),"X","")</f>
        <v/>
      </c>
      <c r="AJ35" s="39" t="str">
        <f>IF(ISNUMBER(SEARCH($A35,INDEX(Index_CT!$D$2:$D$36,MATCH(AJ$3,Index_CT!$A$2:$A$36,0)))),"X","")</f>
        <v/>
      </c>
      <c r="AK35" s="39" t="str">
        <f>IF(ISNUMBER(SEARCH($A35,INDEX(Index_CT!$D$2:$D$36,MATCH(AK$3,Index_CT!$A$2:$A$36,0)))),"X","")</f>
        <v/>
      </c>
      <c r="AL35" s="39" t="str">
        <f>IF(ISNUMBER(SEARCH($A35,INDEX(Index_CT!$D$2:$D$36,MATCH(AL$3,Index_CT!$A$2:$A$36,0)))),"X","")</f>
        <v/>
      </c>
      <c r="AM35" s="39" t="str">
        <f>IF(ISNUMBER(SEARCH($A35,INDEX(Index_CT!$D$2:$D$36,MATCH(AM$3,Index_CT!$A$2:$A$36,0)))),"X","")</f>
        <v/>
      </c>
      <c r="AN35" s="39" t="str">
        <f>IF(ISNUMBER(SEARCH($A35,INDEX(Index_CT!$D$2:$D$36,MATCH(AN$3,Index_CT!$A$2:$A$36,0)))),"X","")</f>
        <v/>
      </c>
      <c r="AO35" s="39" t="str">
        <f>IF(ISNUMBER(SEARCH($A35,INDEX(Index_CT!$D$2:$D$36,MATCH(AO$3,Index_CT!$A$2:$A$36,0)))),"X","")</f>
        <v/>
      </c>
      <c r="AP35" s="39" t="str">
        <f>IF(ISNUMBER(SEARCH($A35,INDEX(Index_CT!$D$2:$D$36,MATCH(AP$3,Index_CT!$A$2:$A$36,0)))),"X","")</f>
        <v/>
      </c>
      <c r="AQ35" s="39" t="str">
        <f>IF(ISNUMBER(SEARCH($A35,INDEX(Index_CT!$D$2:$D$36,MATCH(AQ$3,Index_CT!$A$2:$A$36,0)))),"X","")</f>
        <v/>
      </c>
      <c r="AR35" s="39" t="str">
        <f>IF(ISNUMBER(SEARCH($A35,INDEX(Index_CT!$D$2:$D$36,MATCH(AR$3,Index_CT!$A$2:$A$36,0)))),"X","")</f>
        <v/>
      </c>
      <c r="AS35" s="39" t="str">
        <f>IF(ISNUMBER(SEARCH($A35,INDEX(Index_CT!$D$2:$D$36,MATCH(AS$3,Index_CT!$A$2:$A$36,0)))),"X","")</f>
        <v/>
      </c>
      <c r="AT35" s="39" t="str">
        <f>IF(ISNUMBER(SEARCH($A35,INDEX(Index_CT!$D$2:$D$36,MATCH(AT$3,Index_CT!$A$2:$A$36,0)))),"X","")</f>
        <v/>
      </c>
      <c r="AU35" s="39" t="str">
        <f>IF(ISNUMBER(SEARCH($A35,INDEX(Index_CT!$D$2:$D$36,MATCH(AU$3,Index_CT!$A$2:$A$36,0)))),"X","")</f>
        <v/>
      </c>
      <c r="AV35" s="39" t="str">
        <f>IF(ISNUMBER(SEARCH($A35,INDEX(Index_CT!$D$2:$D$36,MATCH(AV$3,Index_CT!$A$2:$A$36,0)))),"X","")</f>
        <v/>
      </c>
      <c r="AW35" s="39" t="str">
        <f>IF(ISNUMBER(SEARCH($A35,INDEX(Index_CT!$D$2:$D$36,MATCH(AW$3,Index_CT!$A$2:$A$36,0)))),"X","")</f>
        <v/>
      </c>
      <c r="AX35" s="39" t="str">
        <f>IF(ISNUMBER(SEARCH($A35,INDEX(Index_CT!$D$2:$D$36,MATCH(AX$3,Index_CT!$A$2:$A$36,0)))),"X","")</f>
        <v/>
      </c>
      <c r="AY35" s="39" t="str">
        <f>IF(ISNUMBER(SEARCH($A35,INDEX(Index_CT!$D$2:$D$36,MATCH(AY$3,Index_CT!$A$2:$A$36,0)))),"X","")</f>
        <v/>
      </c>
      <c r="AZ35" s="39" t="str">
        <f>IF(ISNUMBER(SEARCH($A35,INDEX(Index_CT!$D$2:$D$36,MATCH(AZ$3,Index_CT!$A$2:$A$36,0)))),"X","")</f>
        <v/>
      </c>
      <c r="BA35" s="39" t="str">
        <f>IF(ISNUMBER(SEARCH($A35,INDEX(Index_CT!$D$2:$D$36,MATCH(BA$3,Index_CT!$A$2:$A$36,0)))),"X","")</f>
        <v/>
      </c>
      <c r="BB35" s="39" t="str">
        <f>IF(ISNUMBER(SEARCH($A35,INDEX(Index_CT!$D$2:$D$36,MATCH(BB$3,Index_CT!$A$2:$A$36,0)))),"X","")</f>
        <v/>
      </c>
      <c r="BC35" s="39" t="str">
        <f>IF(ISNUMBER(SEARCH($A35,INDEX(Index_CT!$D$2:$D$36,MATCH(BC$3,Index_CT!$A$2:$A$36,0)))),"X","")</f>
        <v/>
      </c>
      <c r="BD35" s="39" t="str">
        <f>IF(ISNUMBER(SEARCH($A35,INDEX(Index_CT!$D$2:$D$36,MATCH(BD$3,Index_CT!$A$2:$A$36,0)))),"X","")</f>
        <v/>
      </c>
      <c r="BE35" s="39" t="str">
        <f>IF(ISNUMBER(SEARCH($A35,INDEX(Index_CT!$D$2:$D$36,MATCH(BE$3,Index_CT!$A$2:$A$36,0)))),"X","")</f>
        <v/>
      </c>
      <c r="BF35" s="39" t="str">
        <f>IF(ISNUMBER(SEARCH($A35,INDEX(Index_CT!$D$2:$D$36,MATCH(BF$3,Index_CT!$A$2:$A$36,0)))),"X","")</f>
        <v/>
      </c>
      <c r="BG35" s="39" t="str">
        <f>IF(ISNUMBER(SEARCH($A35,INDEX(Index_CT!$D$2:$D$36,MATCH(BG$3,Index_CT!$A$2:$A$36,0)))),"X","")</f>
        <v/>
      </c>
      <c r="BH35" s="39" t="str">
        <f>IF(ISNUMBER(SEARCH($A35,INDEX(Index_CT!$D$2:$D$36,MATCH(BH$3,Index_CT!$A$2:$A$36,0)))),"X","")</f>
        <v/>
      </c>
      <c r="BI35" s="39" t="str">
        <f>IF(ISNUMBER(SEARCH($A35,INDEX(Index_CT!$D$2:$D$36,MATCH(BI$3,Index_CT!$A$2:$A$36,0)))),"X","")</f>
        <v/>
      </c>
      <c r="BJ35" s="39" t="str">
        <f>IF(ISNUMBER(SEARCH($A35,INDEX(Index_CT!$D$2:$D$36,MATCH(BJ$3,Index_CT!$A$2:$A$36,0)))),"X","")</f>
        <v/>
      </c>
      <c r="BK35" s="39" t="str">
        <f>IF(ISNUMBER(SEARCH($A35,INDEX(Index_CT!$D$2:$D$36,MATCH(BK$3,Index_CT!$A$2:$A$36,0)))),"X","")</f>
        <v/>
      </c>
      <c r="BL35" s="39" t="str">
        <f>IF(ISNUMBER(SEARCH($A35,INDEX(Index_CT!$D$2:$D$36,MATCH(BL$3,Index_CT!$A$2:$A$36,0)))),"X","")</f>
        <v/>
      </c>
      <c r="BM35" s="39" t="str">
        <f>IF(ISNUMBER(SEARCH($A35,INDEX(Index_CT!$D$2:$D$36,MATCH(BM$3,Index_CT!$A$2:$A$36,0)))),"X","")</f>
        <v/>
      </c>
      <c r="BN35" s="39" t="str">
        <f>IF(ISNUMBER(SEARCH($A35,INDEX(Index_CT!$D$2:$D$36,MATCH(BN$3,Index_CT!$A$2:$A$36,0)))),"X","")</f>
        <v/>
      </c>
      <c r="BO35" s="39" t="str">
        <f>IF(ISNUMBER(SEARCH($A35,INDEX(Index_CT!$D$2:$D$36,MATCH(BO$3,Index_CT!$A$2:$A$36,0)))),"X","")</f>
        <v/>
      </c>
      <c r="BP35" s="39" t="str">
        <f>IF(ISNUMBER(SEARCH($A35,INDEX(Index_CT!$D$2:$D$36,MATCH(BP$3,Index_CT!$A$2:$A$36,0)))),"X","")</f>
        <v/>
      </c>
      <c r="BQ35" s="39" t="str">
        <f>IF(ISNUMBER(SEARCH($A35,INDEX(Index_CT!$D$2:$D$36,MATCH(BQ$3,Index_CT!$A$2:$A$36,0)))),"X","")</f>
        <v/>
      </c>
      <c r="BR35" s="39" t="str">
        <f>IF(ISNUMBER(SEARCH($A35,INDEX(Index_CT!$D$2:$D$36,MATCH(BR$3,Index_CT!$A$2:$A$36,0)))),"X","")</f>
        <v/>
      </c>
    </row>
    <row r="36" spans="1:70" x14ac:dyDescent="0.25">
      <c r="A36" s="33" t="s">
        <v>453</v>
      </c>
      <c r="B36" s="34" t="s">
        <v>549</v>
      </c>
      <c r="C36" s="33" t="s">
        <v>53</v>
      </c>
      <c r="D36" s="33">
        <f t="shared" si="0"/>
        <v>0</v>
      </c>
      <c r="E36" s="39" t="str">
        <f>IF(ISNUMBER(SEARCH($A36,INDEX(Index_CT!$D$2:$D$36,MATCH(E$3,Index_CT!$A$2:$A$36,0)))),"X","")</f>
        <v/>
      </c>
      <c r="F36" s="39" t="str">
        <f>IF(ISNUMBER(SEARCH($A36,INDEX(Index_CT!$D$2:$D$36,MATCH(F$3,Index_CT!$A$2:$A$36,0)))),"X","")</f>
        <v/>
      </c>
      <c r="G36" s="39" t="str">
        <f>IF(ISNUMBER(SEARCH($A36,INDEX(Index_CT!$D$2:$D$36,MATCH(G$3,Index_CT!$A$2:$A$36,0)))),"X","")</f>
        <v/>
      </c>
      <c r="H36" s="39" t="str">
        <f>IF(ISNUMBER(SEARCH($A36,INDEX(Index_CT!$D$2:$D$36,MATCH(H$3,Index_CT!$A$2:$A$36,0)))),"X","")</f>
        <v/>
      </c>
      <c r="I36" s="39" t="str">
        <f>IF(ISNUMBER(SEARCH($A36,INDEX(Index_CT!$D$2:$D$36,MATCH(I$3,Index_CT!$A$2:$A$36,0)))),"X","")</f>
        <v/>
      </c>
      <c r="J36" s="39" t="str">
        <f>IF(ISNUMBER(SEARCH($A36,INDEX(Index_CT!$D$2:$D$36,MATCH(J$3,Index_CT!$A$2:$A$36,0)))),"X","")</f>
        <v/>
      </c>
      <c r="K36" s="39" t="str">
        <f>IF(ISNUMBER(SEARCH($A36,INDEX(Index_CT!$D$2:$D$36,MATCH(K$3,Index_CT!$A$2:$A$36,0)))),"X","")</f>
        <v/>
      </c>
      <c r="L36" s="39" t="str">
        <f>IF(ISNUMBER(SEARCH($A36,INDEX(Index_CT!$D$2:$D$36,MATCH(L$3,Index_CT!$A$2:$A$36,0)))),"X","")</f>
        <v/>
      </c>
      <c r="M36" s="39" t="str">
        <f>IF(ISNUMBER(SEARCH($A36,INDEX(Index_CT!$D$2:$D$36,MATCH(M$3,Index_CT!$A$2:$A$36,0)))),"X","")</f>
        <v/>
      </c>
      <c r="N36" s="39" t="str">
        <f>IF(ISNUMBER(SEARCH($A36,INDEX(Index_CT!$D$2:$D$36,MATCH(N$3,Index_CT!$A$2:$A$36,0)))),"X","")</f>
        <v/>
      </c>
      <c r="O36" s="39" t="str">
        <f>IF(ISNUMBER(SEARCH($A36,INDEX(Index_CT!$D$2:$D$36,MATCH(O$3,Index_CT!$A$2:$A$36,0)))),"X","")</f>
        <v/>
      </c>
      <c r="P36" s="39" t="str">
        <f>IF(ISNUMBER(SEARCH($A36,INDEX(Index_CT!$D$2:$D$36,MATCH(P$3,Index_CT!$A$2:$A$36,0)))),"X","")</f>
        <v/>
      </c>
      <c r="Q36" s="39" t="str">
        <f>IF(ISNUMBER(SEARCH($A36,INDEX(Index_CT!$D$2:$D$36,MATCH(Q$3,Index_CT!$A$2:$A$36,0)))),"X","")</f>
        <v/>
      </c>
      <c r="R36" s="39" t="str">
        <f>IF(ISNUMBER(SEARCH($A36,INDEX(Index_CT!$D$2:$D$36,MATCH(R$3,Index_CT!$A$2:$A$36,0)))),"X","")</f>
        <v/>
      </c>
      <c r="S36" s="39" t="str">
        <f>IF(ISNUMBER(SEARCH($A36,INDEX(Index_CT!$D$2:$D$36,MATCH(S$3,Index_CT!$A$2:$A$36,0)))),"X","")</f>
        <v/>
      </c>
      <c r="T36" s="39" t="str">
        <f>IF(ISNUMBER(SEARCH($A36,INDEX(Index_CT!$D$2:$D$36,MATCH(T$3,Index_CT!$A$2:$A$36,0)))),"X","")</f>
        <v/>
      </c>
      <c r="U36" s="39" t="str">
        <f>IF(ISNUMBER(SEARCH($A36,INDEX(Index_CT!$D$2:$D$36,MATCH(U$3,Index_CT!$A$2:$A$36,0)))),"X","")</f>
        <v/>
      </c>
      <c r="V36" s="39" t="str">
        <f>IF(ISNUMBER(SEARCH($A36,INDEX(Index_CT!$D$2:$D$36,MATCH(V$3,Index_CT!$A$2:$A$36,0)))),"X","")</f>
        <v/>
      </c>
      <c r="W36" s="39" t="str">
        <f>IF(ISNUMBER(SEARCH($A36,INDEX(Index_CT!$D$2:$D$36,MATCH(W$3,Index_CT!$A$2:$A$36,0)))),"X","")</f>
        <v/>
      </c>
      <c r="X36" s="39" t="str">
        <f>IF(ISNUMBER(SEARCH($A36,INDEX(Index_CT!$D$2:$D$36,MATCH(X$3,Index_CT!$A$2:$A$36,0)))),"X","")</f>
        <v/>
      </c>
      <c r="Y36" s="39" t="str">
        <f>IF(ISNUMBER(SEARCH($A36,INDEX(Index_CT!$D$2:$D$36,MATCH(Y$3,Index_CT!$A$2:$A$36,0)))),"X","")</f>
        <v/>
      </c>
      <c r="Z36" s="39" t="str">
        <f>IF(ISNUMBER(SEARCH($A36,INDEX(Index_CT!$D$2:$D$36,MATCH(Z$3,Index_CT!$A$2:$A$36,0)))),"X","")</f>
        <v/>
      </c>
      <c r="AA36" s="39" t="str">
        <f>IF(ISNUMBER(SEARCH($A36,INDEX(Index_CT!$D$2:$D$36,MATCH(AA$3,Index_CT!$A$2:$A$36,0)))),"X","")</f>
        <v/>
      </c>
      <c r="AB36" s="39" t="str">
        <f>IF(ISNUMBER(SEARCH($A36,INDEX(Index_CT!$D$2:$D$36,MATCH(AB$3,Index_CT!$A$2:$A$36,0)))),"X","")</f>
        <v/>
      </c>
      <c r="AC36" s="39" t="str">
        <f>IF(ISNUMBER(SEARCH($A36,INDEX(Index_CT!$D$2:$D$36,MATCH(AC$3,Index_CT!$A$2:$A$36,0)))),"X","")</f>
        <v/>
      </c>
      <c r="AD36" s="39" t="str">
        <f>IF(ISNUMBER(SEARCH($A36,INDEX(Index_CT!$D$2:$D$36,MATCH(AD$3,Index_CT!$A$2:$A$36,0)))),"X","")</f>
        <v/>
      </c>
      <c r="AE36" s="39" t="str">
        <f>IF(ISNUMBER(SEARCH($A36,INDEX(Index_CT!$D$2:$D$36,MATCH(AE$3,Index_CT!$A$2:$A$36,0)))),"X","")</f>
        <v/>
      </c>
      <c r="AF36" s="39" t="str">
        <f>IF(ISNUMBER(SEARCH($A36,INDEX(Index_CT!$D$2:$D$36,MATCH(AF$3,Index_CT!$A$2:$A$36,0)))),"X","")</f>
        <v/>
      </c>
      <c r="AG36" s="39" t="str">
        <f>IF(ISNUMBER(SEARCH($A36,INDEX(Index_CT!$D$2:$D$36,MATCH(AG$3,Index_CT!$A$2:$A$36,0)))),"X","")</f>
        <v/>
      </c>
      <c r="AH36" s="39" t="str">
        <f>IF(ISNUMBER(SEARCH($A36,INDEX(Index_CT!$D$2:$D$36,MATCH(AH$3,Index_CT!$A$2:$A$36,0)))),"X","")</f>
        <v/>
      </c>
      <c r="AI36" s="39" t="str">
        <f>IF(ISNUMBER(SEARCH($A36,INDEX(Index_CT!$D$2:$D$36,MATCH(AI$3,Index_CT!$A$2:$A$36,0)))),"X","")</f>
        <v/>
      </c>
      <c r="AJ36" s="39" t="str">
        <f>IF(ISNUMBER(SEARCH($A36,INDEX(Index_CT!$D$2:$D$36,MATCH(AJ$3,Index_CT!$A$2:$A$36,0)))),"X","")</f>
        <v/>
      </c>
      <c r="AK36" s="39" t="str">
        <f>IF(ISNUMBER(SEARCH($A36,INDEX(Index_CT!$D$2:$D$36,MATCH(AK$3,Index_CT!$A$2:$A$36,0)))),"X","")</f>
        <v/>
      </c>
      <c r="AL36" s="39" t="str">
        <f>IF(ISNUMBER(SEARCH($A36,INDEX(Index_CT!$D$2:$D$36,MATCH(AL$3,Index_CT!$A$2:$A$36,0)))),"X","")</f>
        <v/>
      </c>
      <c r="AM36" s="39" t="str">
        <f>IF(ISNUMBER(SEARCH($A36,INDEX(Index_CT!$D$2:$D$36,MATCH(AM$3,Index_CT!$A$2:$A$36,0)))),"X","")</f>
        <v/>
      </c>
      <c r="AN36" s="39" t="str">
        <f>IF(ISNUMBER(SEARCH($A36,INDEX(Index_CT!$D$2:$D$36,MATCH(AN$3,Index_CT!$A$2:$A$36,0)))),"X","")</f>
        <v/>
      </c>
      <c r="AO36" s="39" t="str">
        <f>IF(ISNUMBER(SEARCH($A36,INDEX(Index_CT!$D$2:$D$36,MATCH(AO$3,Index_CT!$A$2:$A$36,0)))),"X","")</f>
        <v/>
      </c>
      <c r="AP36" s="39" t="str">
        <f>IF(ISNUMBER(SEARCH($A36,INDEX(Index_CT!$D$2:$D$36,MATCH(AP$3,Index_CT!$A$2:$A$36,0)))),"X","")</f>
        <v/>
      </c>
      <c r="AQ36" s="39" t="str">
        <f>IF(ISNUMBER(SEARCH($A36,INDEX(Index_CT!$D$2:$D$36,MATCH(AQ$3,Index_CT!$A$2:$A$36,0)))),"X","")</f>
        <v/>
      </c>
      <c r="AR36" s="39" t="str">
        <f>IF(ISNUMBER(SEARCH($A36,INDEX(Index_CT!$D$2:$D$36,MATCH(AR$3,Index_CT!$A$2:$A$36,0)))),"X","")</f>
        <v/>
      </c>
      <c r="AS36" s="39" t="str">
        <f>IF(ISNUMBER(SEARCH($A36,INDEX(Index_CT!$D$2:$D$36,MATCH(AS$3,Index_CT!$A$2:$A$36,0)))),"X","")</f>
        <v/>
      </c>
      <c r="AT36" s="39" t="str">
        <f>IF(ISNUMBER(SEARCH($A36,INDEX(Index_CT!$D$2:$D$36,MATCH(AT$3,Index_CT!$A$2:$A$36,0)))),"X","")</f>
        <v/>
      </c>
      <c r="AU36" s="39" t="str">
        <f>IF(ISNUMBER(SEARCH($A36,INDEX(Index_CT!$D$2:$D$36,MATCH(AU$3,Index_CT!$A$2:$A$36,0)))),"X","")</f>
        <v/>
      </c>
      <c r="AV36" s="39" t="str">
        <f>IF(ISNUMBER(SEARCH($A36,INDEX(Index_CT!$D$2:$D$36,MATCH(AV$3,Index_CT!$A$2:$A$36,0)))),"X","")</f>
        <v/>
      </c>
      <c r="AW36" s="39" t="str">
        <f>IF(ISNUMBER(SEARCH($A36,INDEX(Index_CT!$D$2:$D$36,MATCH(AW$3,Index_CT!$A$2:$A$36,0)))),"X","")</f>
        <v/>
      </c>
      <c r="AX36" s="39" t="str">
        <f>IF(ISNUMBER(SEARCH($A36,INDEX(Index_CT!$D$2:$D$36,MATCH(AX$3,Index_CT!$A$2:$A$36,0)))),"X","")</f>
        <v/>
      </c>
      <c r="AY36" s="39" t="str">
        <f>IF(ISNUMBER(SEARCH($A36,INDEX(Index_CT!$D$2:$D$36,MATCH(AY$3,Index_CT!$A$2:$A$36,0)))),"X","")</f>
        <v/>
      </c>
      <c r="AZ36" s="39" t="str">
        <f>IF(ISNUMBER(SEARCH($A36,INDEX(Index_CT!$D$2:$D$36,MATCH(AZ$3,Index_CT!$A$2:$A$36,0)))),"X","")</f>
        <v/>
      </c>
      <c r="BA36" s="39" t="str">
        <f>IF(ISNUMBER(SEARCH($A36,INDEX(Index_CT!$D$2:$D$36,MATCH(BA$3,Index_CT!$A$2:$A$36,0)))),"X","")</f>
        <v/>
      </c>
      <c r="BB36" s="39" t="str">
        <f>IF(ISNUMBER(SEARCH($A36,INDEX(Index_CT!$D$2:$D$36,MATCH(BB$3,Index_CT!$A$2:$A$36,0)))),"X","")</f>
        <v/>
      </c>
      <c r="BC36" s="39" t="str">
        <f>IF(ISNUMBER(SEARCH($A36,INDEX(Index_CT!$D$2:$D$36,MATCH(BC$3,Index_CT!$A$2:$A$36,0)))),"X","")</f>
        <v/>
      </c>
      <c r="BD36" s="39" t="str">
        <f>IF(ISNUMBER(SEARCH($A36,INDEX(Index_CT!$D$2:$D$36,MATCH(BD$3,Index_CT!$A$2:$A$36,0)))),"X","")</f>
        <v/>
      </c>
      <c r="BE36" s="39" t="str">
        <f>IF(ISNUMBER(SEARCH($A36,INDEX(Index_CT!$D$2:$D$36,MATCH(BE$3,Index_CT!$A$2:$A$36,0)))),"X","")</f>
        <v/>
      </c>
      <c r="BF36" s="39" t="str">
        <f>IF(ISNUMBER(SEARCH($A36,INDEX(Index_CT!$D$2:$D$36,MATCH(BF$3,Index_CT!$A$2:$A$36,0)))),"X","")</f>
        <v/>
      </c>
      <c r="BG36" s="39" t="str">
        <f>IF(ISNUMBER(SEARCH($A36,INDEX(Index_CT!$D$2:$D$36,MATCH(BG$3,Index_CT!$A$2:$A$36,0)))),"X","")</f>
        <v/>
      </c>
      <c r="BH36" s="39" t="str">
        <f>IF(ISNUMBER(SEARCH($A36,INDEX(Index_CT!$D$2:$D$36,MATCH(BH$3,Index_CT!$A$2:$A$36,0)))),"X","")</f>
        <v/>
      </c>
      <c r="BI36" s="39" t="str">
        <f>IF(ISNUMBER(SEARCH($A36,INDEX(Index_CT!$D$2:$D$36,MATCH(BI$3,Index_CT!$A$2:$A$36,0)))),"X","")</f>
        <v/>
      </c>
      <c r="BJ36" s="39" t="str">
        <f>IF(ISNUMBER(SEARCH($A36,INDEX(Index_CT!$D$2:$D$36,MATCH(BJ$3,Index_CT!$A$2:$A$36,0)))),"X","")</f>
        <v/>
      </c>
      <c r="BK36" s="39" t="str">
        <f>IF(ISNUMBER(SEARCH($A36,INDEX(Index_CT!$D$2:$D$36,MATCH(BK$3,Index_CT!$A$2:$A$36,0)))),"X","")</f>
        <v/>
      </c>
      <c r="BL36" s="39" t="str">
        <f>IF(ISNUMBER(SEARCH($A36,INDEX(Index_CT!$D$2:$D$36,MATCH(BL$3,Index_CT!$A$2:$A$36,0)))),"X","")</f>
        <v/>
      </c>
      <c r="BM36" s="39" t="str">
        <f>IF(ISNUMBER(SEARCH($A36,INDEX(Index_CT!$D$2:$D$36,MATCH(BM$3,Index_CT!$A$2:$A$36,0)))),"X","")</f>
        <v/>
      </c>
      <c r="BN36" s="39" t="str">
        <f>IF(ISNUMBER(SEARCH($A36,INDEX(Index_CT!$D$2:$D$36,MATCH(BN$3,Index_CT!$A$2:$A$36,0)))),"X","")</f>
        <v/>
      </c>
      <c r="BO36" s="39" t="str">
        <f>IF(ISNUMBER(SEARCH($A36,INDEX(Index_CT!$D$2:$D$36,MATCH(BO$3,Index_CT!$A$2:$A$36,0)))),"X","")</f>
        <v/>
      </c>
      <c r="BP36" s="39" t="str">
        <f>IF(ISNUMBER(SEARCH($A36,INDEX(Index_CT!$D$2:$D$36,MATCH(BP$3,Index_CT!$A$2:$A$36,0)))),"X","")</f>
        <v/>
      </c>
      <c r="BQ36" s="39" t="str">
        <f>IF(ISNUMBER(SEARCH($A36,INDEX(Index_CT!$D$2:$D$36,MATCH(BQ$3,Index_CT!$A$2:$A$36,0)))),"X","")</f>
        <v/>
      </c>
      <c r="BR36" s="39" t="str">
        <f>IF(ISNUMBER(SEARCH($A36,INDEX(Index_CT!$D$2:$D$36,MATCH(BR$3,Index_CT!$A$2:$A$36,0)))),"X","")</f>
        <v/>
      </c>
    </row>
    <row r="37" spans="1:70" x14ac:dyDescent="0.25">
      <c r="A37" s="33" t="s">
        <v>458</v>
      </c>
      <c r="B37" s="34" t="s">
        <v>550</v>
      </c>
      <c r="C37" s="33" t="s">
        <v>53</v>
      </c>
      <c r="D37" s="33">
        <f t="shared" si="0"/>
        <v>0</v>
      </c>
      <c r="E37" s="39" t="str">
        <f>IF(ISNUMBER(SEARCH($A37,INDEX(Index_CT!$D$2:$D$36,MATCH(E$3,Index_CT!$A$2:$A$36,0)))),"X","")</f>
        <v/>
      </c>
      <c r="F37" s="39" t="str">
        <f>IF(ISNUMBER(SEARCH($A37,INDEX(Index_CT!$D$2:$D$36,MATCH(F$3,Index_CT!$A$2:$A$36,0)))),"X","")</f>
        <v/>
      </c>
      <c r="G37" s="39" t="str">
        <f>IF(ISNUMBER(SEARCH($A37,INDEX(Index_CT!$D$2:$D$36,MATCH(G$3,Index_CT!$A$2:$A$36,0)))),"X","")</f>
        <v/>
      </c>
      <c r="H37" s="39" t="str">
        <f>IF(ISNUMBER(SEARCH($A37,INDEX(Index_CT!$D$2:$D$36,MATCH(H$3,Index_CT!$A$2:$A$36,0)))),"X","")</f>
        <v/>
      </c>
      <c r="I37" s="39" t="str">
        <f>IF(ISNUMBER(SEARCH($A37,INDEX(Index_CT!$D$2:$D$36,MATCH(I$3,Index_CT!$A$2:$A$36,0)))),"X","")</f>
        <v/>
      </c>
      <c r="J37" s="39" t="str">
        <f>IF(ISNUMBER(SEARCH($A37,INDEX(Index_CT!$D$2:$D$36,MATCH(J$3,Index_CT!$A$2:$A$36,0)))),"X","")</f>
        <v/>
      </c>
      <c r="K37" s="39" t="str">
        <f>IF(ISNUMBER(SEARCH($A37,INDEX(Index_CT!$D$2:$D$36,MATCH(K$3,Index_CT!$A$2:$A$36,0)))),"X","")</f>
        <v/>
      </c>
      <c r="L37" s="39" t="str">
        <f>IF(ISNUMBER(SEARCH($A37,INDEX(Index_CT!$D$2:$D$36,MATCH(L$3,Index_CT!$A$2:$A$36,0)))),"X","")</f>
        <v/>
      </c>
      <c r="M37" s="39" t="str">
        <f>IF(ISNUMBER(SEARCH($A37,INDEX(Index_CT!$D$2:$D$36,MATCH(M$3,Index_CT!$A$2:$A$36,0)))),"X","")</f>
        <v/>
      </c>
      <c r="N37" s="39" t="str">
        <f>IF(ISNUMBER(SEARCH($A37,INDEX(Index_CT!$D$2:$D$36,MATCH(N$3,Index_CT!$A$2:$A$36,0)))),"X","")</f>
        <v/>
      </c>
      <c r="O37" s="39" t="str">
        <f>IF(ISNUMBER(SEARCH($A37,INDEX(Index_CT!$D$2:$D$36,MATCH(O$3,Index_CT!$A$2:$A$36,0)))),"X","")</f>
        <v/>
      </c>
      <c r="P37" s="39" t="str">
        <f>IF(ISNUMBER(SEARCH($A37,INDEX(Index_CT!$D$2:$D$36,MATCH(P$3,Index_CT!$A$2:$A$36,0)))),"X","")</f>
        <v/>
      </c>
      <c r="Q37" s="39" t="str">
        <f>IF(ISNUMBER(SEARCH($A37,INDEX(Index_CT!$D$2:$D$36,MATCH(Q$3,Index_CT!$A$2:$A$36,0)))),"X","")</f>
        <v/>
      </c>
      <c r="R37" s="39" t="str">
        <f>IF(ISNUMBER(SEARCH($A37,INDEX(Index_CT!$D$2:$D$36,MATCH(R$3,Index_CT!$A$2:$A$36,0)))),"X","")</f>
        <v/>
      </c>
      <c r="S37" s="39" t="str">
        <f>IF(ISNUMBER(SEARCH($A37,INDEX(Index_CT!$D$2:$D$36,MATCH(S$3,Index_CT!$A$2:$A$36,0)))),"X","")</f>
        <v/>
      </c>
      <c r="T37" s="39" t="str">
        <f>IF(ISNUMBER(SEARCH($A37,INDEX(Index_CT!$D$2:$D$36,MATCH(T$3,Index_CT!$A$2:$A$36,0)))),"X","")</f>
        <v/>
      </c>
      <c r="U37" s="39" t="str">
        <f>IF(ISNUMBER(SEARCH($A37,INDEX(Index_CT!$D$2:$D$36,MATCH(U$3,Index_CT!$A$2:$A$36,0)))),"X","")</f>
        <v/>
      </c>
      <c r="V37" s="39" t="str">
        <f>IF(ISNUMBER(SEARCH($A37,INDEX(Index_CT!$D$2:$D$36,MATCH(V$3,Index_CT!$A$2:$A$36,0)))),"X","")</f>
        <v/>
      </c>
      <c r="W37" s="39" t="str">
        <f>IF(ISNUMBER(SEARCH($A37,INDEX(Index_CT!$D$2:$D$36,MATCH(W$3,Index_CT!$A$2:$A$36,0)))),"X","")</f>
        <v/>
      </c>
      <c r="X37" s="39" t="str">
        <f>IF(ISNUMBER(SEARCH($A37,INDEX(Index_CT!$D$2:$D$36,MATCH(X$3,Index_CT!$A$2:$A$36,0)))),"X","")</f>
        <v/>
      </c>
      <c r="Y37" s="39" t="str">
        <f>IF(ISNUMBER(SEARCH($A37,INDEX(Index_CT!$D$2:$D$36,MATCH(Y$3,Index_CT!$A$2:$A$36,0)))),"X","")</f>
        <v/>
      </c>
      <c r="Z37" s="39" t="str">
        <f>IF(ISNUMBER(SEARCH($A37,INDEX(Index_CT!$D$2:$D$36,MATCH(Z$3,Index_CT!$A$2:$A$36,0)))),"X","")</f>
        <v/>
      </c>
      <c r="AA37" s="39" t="str">
        <f>IF(ISNUMBER(SEARCH($A37,INDEX(Index_CT!$D$2:$D$36,MATCH(AA$3,Index_CT!$A$2:$A$36,0)))),"X","")</f>
        <v/>
      </c>
      <c r="AB37" s="39" t="str">
        <f>IF(ISNUMBER(SEARCH($A37,INDEX(Index_CT!$D$2:$D$36,MATCH(AB$3,Index_CT!$A$2:$A$36,0)))),"X","")</f>
        <v/>
      </c>
      <c r="AC37" s="39" t="str">
        <f>IF(ISNUMBER(SEARCH($A37,INDEX(Index_CT!$D$2:$D$36,MATCH(AC$3,Index_CT!$A$2:$A$36,0)))),"X","")</f>
        <v/>
      </c>
      <c r="AD37" s="39" t="str">
        <f>IF(ISNUMBER(SEARCH($A37,INDEX(Index_CT!$D$2:$D$36,MATCH(AD$3,Index_CT!$A$2:$A$36,0)))),"X","")</f>
        <v/>
      </c>
      <c r="AE37" s="39" t="str">
        <f>IF(ISNUMBER(SEARCH($A37,INDEX(Index_CT!$D$2:$D$36,MATCH(AE$3,Index_CT!$A$2:$A$36,0)))),"X","")</f>
        <v/>
      </c>
      <c r="AF37" s="39" t="str">
        <f>IF(ISNUMBER(SEARCH($A37,INDEX(Index_CT!$D$2:$D$36,MATCH(AF$3,Index_CT!$A$2:$A$36,0)))),"X","")</f>
        <v/>
      </c>
      <c r="AG37" s="39" t="str">
        <f>IF(ISNUMBER(SEARCH($A37,INDEX(Index_CT!$D$2:$D$36,MATCH(AG$3,Index_CT!$A$2:$A$36,0)))),"X","")</f>
        <v/>
      </c>
      <c r="AH37" s="39" t="str">
        <f>IF(ISNUMBER(SEARCH($A37,INDEX(Index_CT!$D$2:$D$36,MATCH(AH$3,Index_CT!$A$2:$A$36,0)))),"X","")</f>
        <v/>
      </c>
      <c r="AI37" s="39" t="str">
        <f>IF(ISNUMBER(SEARCH($A37,INDEX(Index_CT!$D$2:$D$36,MATCH(AI$3,Index_CT!$A$2:$A$36,0)))),"X","")</f>
        <v/>
      </c>
      <c r="AJ37" s="39" t="str">
        <f>IF(ISNUMBER(SEARCH($A37,INDEX(Index_CT!$D$2:$D$36,MATCH(AJ$3,Index_CT!$A$2:$A$36,0)))),"X","")</f>
        <v/>
      </c>
      <c r="AK37" s="39" t="str">
        <f>IF(ISNUMBER(SEARCH($A37,INDEX(Index_CT!$D$2:$D$36,MATCH(AK$3,Index_CT!$A$2:$A$36,0)))),"X","")</f>
        <v/>
      </c>
      <c r="AL37" s="39" t="str">
        <f>IF(ISNUMBER(SEARCH($A37,INDEX(Index_CT!$D$2:$D$36,MATCH(AL$3,Index_CT!$A$2:$A$36,0)))),"X","")</f>
        <v/>
      </c>
      <c r="AM37" s="39" t="str">
        <f>IF(ISNUMBER(SEARCH($A37,INDEX(Index_CT!$D$2:$D$36,MATCH(AM$3,Index_CT!$A$2:$A$36,0)))),"X","")</f>
        <v/>
      </c>
      <c r="AN37" s="39" t="str">
        <f>IF(ISNUMBER(SEARCH($A37,INDEX(Index_CT!$D$2:$D$36,MATCH(AN$3,Index_CT!$A$2:$A$36,0)))),"X","")</f>
        <v/>
      </c>
      <c r="AO37" s="39" t="str">
        <f>IF(ISNUMBER(SEARCH($A37,INDEX(Index_CT!$D$2:$D$36,MATCH(AO$3,Index_CT!$A$2:$A$36,0)))),"X","")</f>
        <v/>
      </c>
      <c r="AP37" s="39" t="str">
        <f>IF(ISNUMBER(SEARCH($A37,INDEX(Index_CT!$D$2:$D$36,MATCH(AP$3,Index_CT!$A$2:$A$36,0)))),"X","")</f>
        <v/>
      </c>
      <c r="AQ37" s="39" t="str">
        <f>IF(ISNUMBER(SEARCH($A37,INDEX(Index_CT!$D$2:$D$36,MATCH(AQ$3,Index_CT!$A$2:$A$36,0)))),"X","")</f>
        <v/>
      </c>
      <c r="AR37" s="39" t="str">
        <f>IF(ISNUMBER(SEARCH($A37,INDEX(Index_CT!$D$2:$D$36,MATCH(AR$3,Index_CT!$A$2:$A$36,0)))),"X","")</f>
        <v/>
      </c>
      <c r="AS37" s="39" t="str">
        <f>IF(ISNUMBER(SEARCH($A37,INDEX(Index_CT!$D$2:$D$36,MATCH(AS$3,Index_CT!$A$2:$A$36,0)))),"X","")</f>
        <v/>
      </c>
      <c r="AT37" s="39" t="str">
        <f>IF(ISNUMBER(SEARCH($A37,INDEX(Index_CT!$D$2:$D$36,MATCH(AT$3,Index_CT!$A$2:$A$36,0)))),"X","")</f>
        <v/>
      </c>
      <c r="AU37" s="39" t="str">
        <f>IF(ISNUMBER(SEARCH($A37,INDEX(Index_CT!$D$2:$D$36,MATCH(AU$3,Index_CT!$A$2:$A$36,0)))),"X","")</f>
        <v/>
      </c>
      <c r="AV37" s="39" t="str">
        <f>IF(ISNUMBER(SEARCH($A37,INDEX(Index_CT!$D$2:$D$36,MATCH(AV$3,Index_CT!$A$2:$A$36,0)))),"X","")</f>
        <v/>
      </c>
      <c r="AW37" s="39" t="str">
        <f>IF(ISNUMBER(SEARCH($A37,INDEX(Index_CT!$D$2:$D$36,MATCH(AW$3,Index_CT!$A$2:$A$36,0)))),"X","")</f>
        <v/>
      </c>
      <c r="AX37" s="39" t="str">
        <f>IF(ISNUMBER(SEARCH($A37,INDEX(Index_CT!$D$2:$D$36,MATCH(AX$3,Index_CT!$A$2:$A$36,0)))),"X","")</f>
        <v/>
      </c>
      <c r="AY37" s="39" t="str">
        <f>IF(ISNUMBER(SEARCH($A37,INDEX(Index_CT!$D$2:$D$36,MATCH(AY$3,Index_CT!$A$2:$A$36,0)))),"X","")</f>
        <v/>
      </c>
      <c r="AZ37" s="39" t="str">
        <f>IF(ISNUMBER(SEARCH($A37,INDEX(Index_CT!$D$2:$D$36,MATCH(AZ$3,Index_CT!$A$2:$A$36,0)))),"X","")</f>
        <v/>
      </c>
      <c r="BA37" s="39" t="str">
        <f>IF(ISNUMBER(SEARCH($A37,INDEX(Index_CT!$D$2:$D$36,MATCH(BA$3,Index_CT!$A$2:$A$36,0)))),"X","")</f>
        <v/>
      </c>
      <c r="BB37" s="39" t="str">
        <f>IF(ISNUMBER(SEARCH($A37,INDEX(Index_CT!$D$2:$D$36,MATCH(BB$3,Index_CT!$A$2:$A$36,0)))),"X","")</f>
        <v/>
      </c>
      <c r="BC37" s="39" t="str">
        <f>IF(ISNUMBER(SEARCH($A37,INDEX(Index_CT!$D$2:$D$36,MATCH(BC$3,Index_CT!$A$2:$A$36,0)))),"X","")</f>
        <v/>
      </c>
      <c r="BD37" s="39" t="str">
        <f>IF(ISNUMBER(SEARCH($A37,INDEX(Index_CT!$D$2:$D$36,MATCH(BD$3,Index_CT!$A$2:$A$36,0)))),"X","")</f>
        <v/>
      </c>
      <c r="BE37" s="39" t="str">
        <f>IF(ISNUMBER(SEARCH($A37,INDEX(Index_CT!$D$2:$D$36,MATCH(BE$3,Index_CT!$A$2:$A$36,0)))),"X","")</f>
        <v/>
      </c>
      <c r="BF37" s="39" t="str">
        <f>IF(ISNUMBER(SEARCH($A37,INDEX(Index_CT!$D$2:$D$36,MATCH(BF$3,Index_CT!$A$2:$A$36,0)))),"X","")</f>
        <v/>
      </c>
      <c r="BG37" s="39" t="str">
        <f>IF(ISNUMBER(SEARCH($A37,INDEX(Index_CT!$D$2:$D$36,MATCH(BG$3,Index_CT!$A$2:$A$36,0)))),"X","")</f>
        <v/>
      </c>
      <c r="BH37" s="39" t="str">
        <f>IF(ISNUMBER(SEARCH($A37,INDEX(Index_CT!$D$2:$D$36,MATCH(BH$3,Index_CT!$A$2:$A$36,0)))),"X","")</f>
        <v/>
      </c>
      <c r="BI37" s="39" t="str">
        <f>IF(ISNUMBER(SEARCH($A37,INDEX(Index_CT!$D$2:$D$36,MATCH(BI$3,Index_CT!$A$2:$A$36,0)))),"X","")</f>
        <v/>
      </c>
      <c r="BJ37" s="39" t="str">
        <f>IF(ISNUMBER(SEARCH($A37,INDEX(Index_CT!$D$2:$D$36,MATCH(BJ$3,Index_CT!$A$2:$A$36,0)))),"X","")</f>
        <v/>
      </c>
      <c r="BK37" s="39" t="str">
        <f>IF(ISNUMBER(SEARCH($A37,INDEX(Index_CT!$D$2:$D$36,MATCH(BK$3,Index_CT!$A$2:$A$36,0)))),"X","")</f>
        <v/>
      </c>
      <c r="BL37" s="39" t="str">
        <f>IF(ISNUMBER(SEARCH($A37,INDEX(Index_CT!$D$2:$D$36,MATCH(BL$3,Index_CT!$A$2:$A$36,0)))),"X","")</f>
        <v/>
      </c>
      <c r="BM37" s="39" t="str">
        <f>IF(ISNUMBER(SEARCH($A37,INDEX(Index_CT!$D$2:$D$36,MATCH(BM$3,Index_CT!$A$2:$A$36,0)))),"X","")</f>
        <v/>
      </c>
      <c r="BN37" s="39" t="str">
        <f>IF(ISNUMBER(SEARCH($A37,INDEX(Index_CT!$D$2:$D$36,MATCH(BN$3,Index_CT!$A$2:$A$36,0)))),"X","")</f>
        <v/>
      </c>
      <c r="BO37" s="39" t="str">
        <f>IF(ISNUMBER(SEARCH($A37,INDEX(Index_CT!$D$2:$D$36,MATCH(BO$3,Index_CT!$A$2:$A$36,0)))),"X","")</f>
        <v/>
      </c>
      <c r="BP37" s="39" t="str">
        <f>IF(ISNUMBER(SEARCH($A37,INDEX(Index_CT!$D$2:$D$36,MATCH(BP$3,Index_CT!$A$2:$A$36,0)))),"X","")</f>
        <v/>
      </c>
      <c r="BQ37" s="39" t="str">
        <f>IF(ISNUMBER(SEARCH($A37,INDEX(Index_CT!$D$2:$D$36,MATCH(BQ$3,Index_CT!$A$2:$A$36,0)))),"X","")</f>
        <v/>
      </c>
      <c r="BR37" s="39" t="str">
        <f>IF(ISNUMBER(SEARCH($A37,INDEX(Index_CT!$D$2:$D$36,MATCH(BR$3,Index_CT!$A$2:$A$36,0)))),"X","")</f>
        <v/>
      </c>
    </row>
    <row r="38" spans="1:70" ht="26.25" customHeight="1" x14ac:dyDescent="0.25">
      <c r="A38" s="33" t="s">
        <v>463</v>
      </c>
      <c r="B38" s="34" t="s">
        <v>552</v>
      </c>
      <c r="C38" s="33" t="s">
        <v>83</v>
      </c>
      <c r="D38" s="33">
        <f t="shared" si="0"/>
        <v>0</v>
      </c>
      <c r="E38" s="39" t="str">
        <f>IF(ISNUMBER(SEARCH($A38,INDEX(Index_CT!$D$2:$D$36,MATCH(E$3,Index_CT!$A$2:$A$36,0)))),"X","")</f>
        <v/>
      </c>
      <c r="F38" s="39" t="str">
        <f>IF(ISNUMBER(SEARCH($A38,INDEX(Index_CT!$D$2:$D$36,MATCH(F$3,Index_CT!$A$2:$A$36,0)))),"X","")</f>
        <v/>
      </c>
      <c r="G38" s="39" t="str">
        <f>IF(ISNUMBER(SEARCH($A38,INDEX(Index_CT!$D$2:$D$36,MATCH(G$3,Index_CT!$A$2:$A$36,0)))),"X","")</f>
        <v/>
      </c>
      <c r="H38" s="39" t="str">
        <f>IF(ISNUMBER(SEARCH($A38,INDEX(Index_CT!$D$2:$D$36,MATCH(H$3,Index_CT!$A$2:$A$36,0)))),"X","")</f>
        <v/>
      </c>
      <c r="I38" s="39" t="str">
        <f>IF(ISNUMBER(SEARCH($A38,INDEX(Index_CT!$D$2:$D$36,MATCH(I$3,Index_CT!$A$2:$A$36,0)))),"X","")</f>
        <v/>
      </c>
      <c r="J38" s="39" t="str">
        <f>IF(ISNUMBER(SEARCH($A38,INDEX(Index_CT!$D$2:$D$36,MATCH(J$3,Index_CT!$A$2:$A$36,0)))),"X","")</f>
        <v/>
      </c>
      <c r="K38" s="39" t="str">
        <f>IF(ISNUMBER(SEARCH($A38,INDEX(Index_CT!$D$2:$D$36,MATCH(K$3,Index_CT!$A$2:$A$36,0)))),"X","")</f>
        <v/>
      </c>
      <c r="L38" s="39" t="str">
        <f>IF(ISNUMBER(SEARCH($A38,INDEX(Index_CT!$D$2:$D$36,MATCH(L$3,Index_CT!$A$2:$A$36,0)))),"X","")</f>
        <v/>
      </c>
      <c r="M38" s="39" t="str">
        <f>IF(ISNUMBER(SEARCH($A38,INDEX(Index_CT!$D$2:$D$36,MATCH(M$3,Index_CT!$A$2:$A$36,0)))),"X","")</f>
        <v/>
      </c>
      <c r="N38" s="39" t="str">
        <f>IF(ISNUMBER(SEARCH($A38,INDEX(Index_CT!$D$2:$D$36,MATCH(N$3,Index_CT!$A$2:$A$36,0)))),"X","")</f>
        <v/>
      </c>
      <c r="O38" s="39" t="str">
        <f>IF(ISNUMBER(SEARCH($A38,INDEX(Index_CT!$D$2:$D$36,MATCH(O$3,Index_CT!$A$2:$A$36,0)))),"X","")</f>
        <v/>
      </c>
      <c r="P38" s="39" t="str">
        <f>IF(ISNUMBER(SEARCH($A38,INDEX(Index_CT!$D$2:$D$36,MATCH(P$3,Index_CT!$A$2:$A$36,0)))),"X","")</f>
        <v/>
      </c>
      <c r="Q38" s="39" t="str">
        <f>IF(ISNUMBER(SEARCH($A38,INDEX(Index_CT!$D$2:$D$36,MATCH(Q$3,Index_CT!$A$2:$A$36,0)))),"X","")</f>
        <v/>
      </c>
      <c r="R38" s="39" t="str">
        <f>IF(ISNUMBER(SEARCH($A38,INDEX(Index_CT!$D$2:$D$36,MATCH(R$3,Index_CT!$A$2:$A$36,0)))),"X","")</f>
        <v/>
      </c>
      <c r="S38" s="39" t="str">
        <f>IF(ISNUMBER(SEARCH($A38,INDEX(Index_CT!$D$2:$D$36,MATCH(S$3,Index_CT!$A$2:$A$36,0)))),"X","")</f>
        <v/>
      </c>
      <c r="T38" s="39" t="str">
        <f>IF(ISNUMBER(SEARCH($A38,INDEX(Index_CT!$D$2:$D$36,MATCH(T$3,Index_CT!$A$2:$A$36,0)))),"X","")</f>
        <v/>
      </c>
      <c r="U38" s="39" t="str">
        <f>IF(ISNUMBER(SEARCH($A38,INDEX(Index_CT!$D$2:$D$36,MATCH(U$3,Index_CT!$A$2:$A$36,0)))),"X","")</f>
        <v/>
      </c>
      <c r="V38" s="39" t="str">
        <f>IF(ISNUMBER(SEARCH($A38,INDEX(Index_CT!$D$2:$D$36,MATCH(V$3,Index_CT!$A$2:$A$36,0)))),"X","")</f>
        <v/>
      </c>
      <c r="W38" s="39" t="str">
        <f>IF(ISNUMBER(SEARCH($A38,INDEX(Index_CT!$D$2:$D$36,MATCH(W$3,Index_CT!$A$2:$A$36,0)))),"X","")</f>
        <v/>
      </c>
      <c r="X38" s="39" t="str">
        <f>IF(ISNUMBER(SEARCH($A38,INDEX(Index_CT!$D$2:$D$36,MATCH(X$3,Index_CT!$A$2:$A$36,0)))),"X","")</f>
        <v/>
      </c>
      <c r="Y38" s="39" t="str">
        <f>IF(ISNUMBER(SEARCH($A38,INDEX(Index_CT!$D$2:$D$36,MATCH(Y$3,Index_CT!$A$2:$A$36,0)))),"X","")</f>
        <v/>
      </c>
      <c r="Z38" s="39" t="str">
        <f>IF(ISNUMBER(SEARCH($A38,INDEX(Index_CT!$D$2:$D$36,MATCH(Z$3,Index_CT!$A$2:$A$36,0)))),"X","")</f>
        <v/>
      </c>
      <c r="AA38" s="39" t="str">
        <f>IF(ISNUMBER(SEARCH($A38,INDEX(Index_CT!$D$2:$D$36,MATCH(AA$3,Index_CT!$A$2:$A$36,0)))),"X","")</f>
        <v/>
      </c>
      <c r="AB38" s="39" t="str">
        <f>IF(ISNUMBER(SEARCH($A38,INDEX(Index_CT!$D$2:$D$36,MATCH(AB$3,Index_CT!$A$2:$A$36,0)))),"X","")</f>
        <v/>
      </c>
      <c r="AC38" s="39" t="str">
        <f>IF(ISNUMBER(SEARCH($A38,INDEX(Index_CT!$D$2:$D$36,MATCH(AC$3,Index_CT!$A$2:$A$36,0)))),"X","")</f>
        <v/>
      </c>
      <c r="AD38" s="39" t="str">
        <f>IF(ISNUMBER(SEARCH($A38,INDEX(Index_CT!$D$2:$D$36,MATCH(AD$3,Index_CT!$A$2:$A$36,0)))),"X","")</f>
        <v/>
      </c>
      <c r="AE38" s="39" t="str">
        <f>IF(ISNUMBER(SEARCH($A38,INDEX(Index_CT!$D$2:$D$36,MATCH(AE$3,Index_CT!$A$2:$A$36,0)))),"X","")</f>
        <v/>
      </c>
      <c r="AF38" s="39" t="str">
        <f>IF(ISNUMBER(SEARCH($A38,INDEX(Index_CT!$D$2:$D$36,MATCH(AF$3,Index_CT!$A$2:$A$36,0)))),"X","")</f>
        <v/>
      </c>
      <c r="AG38" s="39" t="str">
        <f>IF(ISNUMBER(SEARCH($A38,INDEX(Index_CT!$D$2:$D$36,MATCH(AG$3,Index_CT!$A$2:$A$36,0)))),"X","")</f>
        <v/>
      </c>
      <c r="AH38" s="39" t="str">
        <f>IF(ISNUMBER(SEARCH($A38,INDEX(Index_CT!$D$2:$D$36,MATCH(AH$3,Index_CT!$A$2:$A$36,0)))),"X","")</f>
        <v/>
      </c>
      <c r="AI38" s="39" t="str">
        <f>IF(ISNUMBER(SEARCH($A38,INDEX(Index_CT!$D$2:$D$36,MATCH(AI$3,Index_CT!$A$2:$A$36,0)))),"X","")</f>
        <v/>
      </c>
      <c r="AJ38" s="39" t="str">
        <f>IF(ISNUMBER(SEARCH($A38,INDEX(Index_CT!$D$2:$D$36,MATCH(AJ$3,Index_CT!$A$2:$A$36,0)))),"X","")</f>
        <v/>
      </c>
      <c r="AK38" s="39" t="str">
        <f>IF(ISNUMBER(SEARCH($A38,INDEX(Index_CT!$D$2:$D$36,MATCH(AK$3,Index_CT!$A$2:$A$36,0)))),"X","")</f>
        <v/>
      </c>
      <c r="AL38" s="39" t="str">
        <f>IF(ISNUMBER(SEARCH($A38,INDEX(Index_CT!$D$2:$D$36,MATCH(AL$3,Index_CT!$A$2:$A$36,0)))),"X","")</f>
        <v/>
      </c>
      <c r="AM38" s="39" t="str">
        <f>IF(ISNUMBER(SEARCH($A38,INDEX(Index_CT!$D$2:$D$36,MATCH(AM$3,Index_CT!$A$2:$A$36,0)))),"X","")</f>
        <v/>
      </c>
      <c r="AN38" s="39" t="str">
        <f>IF(ISNUMBER(SEARCH($A38,INDEX(Index_CT!$D$2:$D$36,MATCH(AN$3,Index_CT!$A$2:$A$36,0)))),"X","")</f>
        <v/>
      </c>
      <c r="AO38" s="39" t="str">
        <f>IF(ISNUMBER(SEARCH($A38,INDEX(Index_CT!$D$2:$D$36,MATCH(AO$3,Index_CT!$A$2:$A$36,0)))),"X","")</f>
        <v/>
      </c>
      <c r="AP38" s="39" t="str">
        <f>IF(ISNUMBER(SEARCH($A38,INDEX(Index_CT!$D$2:$D$36,MATCH(AP$3,Index_CT!$A$2:$A$36,0)))),"X","")</f>
        <v/>
      </c>
      <c r="AQ38" s="39" t="str">
        <f>IF(ISNUMBER(SEARCH($A38,INDEX(Index_CT!$D$2:$D$36,MATCH(AQ$3,Index_CT!$A$2:$A$36,0)))),"X","")</f>
        <v/>
      </c>
      <c r="AR38" s="39" t="str">
        <f>IF(ISNUMBER(SEARCH($A38,INDEX(Index_CT!$D$2:$D$36,MATCH(AR$3,Index_CT!$A$2:$A$36,0)))),"X","")</f>
        <v/>
      </c>
      <c r="AS38" s="39" t="str">
        <f>IF(ISNUMBER(SEARCH($A38,INDEX(Index_CT!$D$2:$D$36,MATCH(AS$3,Index_CT!$A$2:$A$36,0)))),"X","")</f>
        <v/>
      </c>
      <c r="AT38" s="39" t="str">
        <f>IF(ISNUMBER(SEARCH($A38,INDEX(Index_CT!$D$2:$D$36,MATCH(AT$3,Index_CT!$A$2:$A$36,0)))),"X","")</f>
        <v/>
      </c>
      <c r="AU38" s="39" t="str">
        <f>IF(ISNUMBER(SEARCH($A38,INDEX(Index_CT!$D$2:$D$36,MATCH(AU$3,Index_CT!$A$2:$A$36,0)))),"X","")</f>
        <v/>
      </c>
      <c r="AV38" s="39" t="str">
        <f>IF(ISNUMBER(SEARCH($A38,INDEX(Index_CT!$D$2:$D$36,MATCH(AV$3,Index_CT!$A$2:$A$36,0)))),"X","")</f>
        <v/>
      </c>
      <c r="AW38" s="39" t="str">
        <f>IF(ISNUMBER(SEARCH($A38,INDEX(Index_CT!$D$2:$D$36,MATCH(AW$3,Index_CT!$A$2:$A$36,0)))),"X","")</f>
        <v/>
      </c>
      <c r="AX38" s="39" t="str">
        <f>IF(ISNUMBER(SEARCH($A38,INDEX(Index_CT!$D$2:$D$36,MATCH(AX$3,Index_CT!$A$2:$A$36,0)))),"X","")</f>
        <v/>
      </c>
      <c r="AY38" s="39" t="str">
        <f>IF(ISNUMBER(SEARCH($A38,INDEX(Index_CT!$D$2:$D$36,MATCH(AY$3,Index_CT!$A$2:$A$36,0)))),"X","")</f>
        <v/>
      </c>
      <c r="AZ38" s="39" t="str">
        <f>IF(ISNUMBER(SEARCH($A38,INDEX(Index_CT!$D$2:$D$36,MATCH(AZ$3,Index_CT!$A$2:$A$36,0)))),"X","")</f>
        <v/>
      </c>
      <c r="BA38" s="39" t="str">
        <f>IF(ISNUMBER(SEARCH($A38,INDEX(Index_CT!$D$2:$D$36,MATCH(BA$3,Index_CT!$A$2:$A$36,0)))),"X","")</f>
        <v/>
      </c>
      <c r="BB38" s="39" t="str">
        <f>IF(ISNUMBER(SEARCH($A38,INDEX(Index_CT!$D$2:$D$36,MATCH(BB$3,Index_CT!$A$2:$A$36,0)))),"X","")</f>
        <v/>
      </c>
      <c r="BC38" s="39" t="str">
        <f>IF(ISNUMBER(SEARCH($A38,INDEX(Index_CT!$D$2:$D$36,MATCH(BC$3,Index_CT!$A$2:$A$36,0)))),"X","")</f>
        <v/>
      </c>
      <c r="BD38" s="39" t="str">
        <f>IF(ISNUMBER(SEARCH($A38,INDEX(Index_CT!$D$2:$D$36,MATCH(BD$3,Index_CT!$A$2:$A$36,0)))),"X","")</f>
        <v/>
      </c>
      <c r="BE38" s="39" t="str">
        <f>IF(ISNUMBER(SEARCH($A38,INDEX(Index_CT!$D$2:$D$36,MATCH(BE$3,Index_CT!$A$2:$A$36,0)))),"X","")</f>
        <v/>
      </c>
      <c r="BF38" s="39" t="str">
        <f>IF(ISNUMBER(SEARCH($A38,INDEX(Index_CT!$D$2:$D$36,MATCH(BF$3,Index_CT!$A$2:$A$36,0)))),"X","")</f>
        <v/>
      </c>
      <c r="BG38" s="39" t="str">
        <f>IF(ISNUMBER(SEARCH($A38,INDEX(Index_CT!$D$2:$D$36,MATCH(BG$3,Index_CT!$A$2:$A$36,0)))),"X","")</f>
        <v/>
      </c>
      <c r="BH38" s="39" t="str">
        <f>IF(ISNUMBER(SEARCH($A38,INDEX(Index_CT!$D$2:$D$36,MATCH(BH$3,Index_CT!$A$2:$A$36,0)))),"X","")</f>
        <v/>
      </c>
      <c r="BI38" s="39" t="str">
        <f>IF(ISNUMBER(SEARCH($A38,INDEX(Index_CT!$D$2:$D$36,MATCH(BI$3,Index_CT!$A$2:$A$36,0)))),"X","")</f>
        <v/>
      </c>
      <c r="BJ38" s="39" t="str">
        <f>IF(ISNUMBER(SEARCH($A38,INDEX(Index_CT!$D$2:$D$36,MATCH(BJ$3,Index_CT!$A$2:$A$36,0)))),"X","")</f>
        <v/>
      </c>
      <c r="BK38" s="39" t="str">
        <f>IF(ISNUMBER(SEARCH($A38,INDEX(Index_CT!$D$2:$D$36,MATCH(BK$3,Index_CT!$A$2:$A$36,0)))),"X","")</f>
        <v/>
      </c>
      <c r="BL38" s="39" t="str">
        <f>IF(ISNUMBER(SEARCH($A38,INDEX(Index_CT!$D$2:$D$36,MATCH(BL$3,Index_CT!$A$2:$A$36,0)))),"X","")</f>
        <v/>
      </c>
      <c r="BM38" s="39" t="str">
        <f>IF(ISNUMBER(SEARCH($A38,INDEX(Index_CT!$D$2:$D$36,MATCH(BM$3,Index_CT!$A$2:$A$36,0)))),"X","")</f>
        <v/>
      </c>
      <c r="BN38" s="39" t="str">
        <f>IF(ISNUMBER(SEARCH($A38,INDEX(Index_CT!$D$2:$D$36,MATCH(BN$3,Index_CT!$A$2:$A$36,0)))),"X","")</f>
        <v/>
      </c>
      <c r="BO38" s="39" t="str">
        <f>IF(ISNUMBER(SEARCH($A38,INDEX(Index_CT!$D$2:$D$36,MATCH(BO$3,Index_CT!$A$2:$A$36,0)))),"X","")</f>
        <v/>
      </c>
      <c r="BP38" s="39" t="str">
        <f>IF(ISNUMBER(SEARCH($A38,INDEX(Index_CT!$D$2:$D$36,MATCH(BP$3,Index_CT!$A$2:$A$36,0)))),"X","")</f>
        <v/>
      </c>
      <c r="BQ38" s="39" t="str">
        <f>IF(ISNUMBER(SEARCH($A38,INDEX(Index_CT!$D$2:$D$36,MATCH(BQ$3,Index_CT!$A$2:$A$36,0)))),"X","")</f>
        <v/>
      </c>
      <c r="BR38" s="39" t="str">
        <f>IF(ISNUMBER(SEARCH($A38,INDEX(Index_CT!$D$2:$D$36,MATCH(BR$3,Index_CT!$A$2:$A$36,0)))),"X","")</f>
        <v/>
      </c>
    </row>
    <row r="39" spans="1:70" ht="14.25" customHeight="1" x14ac:dyDescent="0.3">
      <c r="A39" s="59" t="s">
        <v>612</v>
      </c>
      <c r="B39" s="59"/>
      <c r="C39" s="59"/>
      <c r="D39" s="59"/>
      <c r="E39" s="40">
        <f t="shared" ref="E39:AJ39" si="1">COUNTIF(E4:E38,"X")</f>
        <v>2</v>
      </c>
      <c r="F39" s="40">
        <f t="shared" si="1"/>
        <v>1</v>
      </c>
      <c r="G39" s="40">
        <f t="shared" si="1"/>
        <v>1</v>
      </c>
      <c r="H39" s="40">
        <f t="shared" si="1"/>
        <v>1</v>
      </c>
      <c r="I39" s="40">
        <f t="shared" si="1"/>
        <v>1</v>
      </c>
      <c r="J39" s="40">
        <f t="shared" si="1"/>
        <v>1</v>
      </c>
      <c r="K39" s="40">
        <f t="shared" si="1"/>
        <v>1</v>
      </c>
      <c r="L39" s="40">
        <f t="shared" si="1"/>
        <v>1</v>
      </c>
      <c r="M39" s="40">
        <f t="shared" si="1"/>
        <v>1</v>
      </c>
      <c r="N39" s="40">
        <f t="shared" si="1"/>
        <v>1</v>
      </c>
      <c r="O39" s="40">
        <f t="shared" si="1"/>
        <v>1</v>
      </c>
      <c r="P39" s="40">
        <f t="shared" si="1"/>
        <v>2</v>
      </c>
      <c r="Q39" s="40">
        <f t="shared" si="1"/>
        <v>1</v>
      </c>
      <c r="R39" s="40">
        <f t="shared" si="1"/>
        <v>1</v>
      </c>
      <c r="S39" s="40">
        <f t="shared" si="1"/>
        <v>1</v>
      </c>
      <c r="T39" s="40">
        <f t="shared" si="1"/>
        <v>1</v>
      </c>
      <c r="U39" s="40">
        <f t="shared" si="1"/>
        <v>1</v>
      </c>
      <c r="V39" s="40">
        <f t="shared" si="1"/>
        <v>1</v>
      </c>
      <c r="W39" s="40">
        <f t="shared" si="1"/>
        <v>1</v>
      </c>
      <c r="X39" s="40">
        <f t="shared" si="1"/>
        <v>1</v>
      </c>
      <c r="Y39" s="40">
        <f t="shared" si="1"/>
        <v>1</v>
      </c>
      <c r="Z39" s="40">
        <f t="shared" si="1"/>
        <v>1</v>
      </c>
      <c r="AA39" s="40">
        <f t="shared" si="1"/>
        <v>1</v>
      </c>
      <c r="AB39" s="40">
        <f t="shared" si="1"/>
        <v>1</v>
      </c>
      <c r="AC39" s="40">
        <f t="shared" si="1"/>
        <v>1</v>
      </c>
      <c r="AD39" s="40">
        <f t="shared" si="1"/>
        <v>1</v>
      </c>
      <c r="AE39" s="40">
        <f t="shared" si="1"/>
        <v>1</v>
      </c>
      <c r="AF39" s="40">
        <f t="shared" si="1"/>
        <v>1</v>
      </c>
      <c r="AG39" s="40">
        <f t="shared" si="1"/>
        <v>1</v>
      </c>
      <c r="AH39" s="40">
        <f t="shared" si="1"/>
        <v>1</v>
      </c>
      <c r="AI39" s="40">
        <f t="shared" si="1"/>
        <v>1</v>
      </c>
      <c r="AJ39" s="40">
        <f t="shared" si="1"/>
        <v>1</v>
      </c>
      <c r="AK39" s="40">
        <f t="shared" ref="AK39:BP39" si="2">COUNTIF(AK4:AK38,"X")</f>
        <v>1</v>
      </c>
      <c r="AL39" s="40">
        <f t="shared" si="2"/>
        <v>1</v>
      </c>
      <c r="AM39" s="40">
        <f t="shared" si="2"/>
        <v>1</v>
      </c>
      <c r="AN39" s="40">
        <f t="shared" si="2"/>
        <v>0</v>
      </c>
      <c r="AO39" s="40">
        <f t="shared" si="2"/>
        <v>0</v>
      </c>
      <c r="AP39" s="40">
        <f t="shared" si="2"/>
        <v>0</v>
      </c>
      <c r="AQ39" s="40">
        <f t="shared" si="2"/>
        <v>0</v>
      </c>
      <c r="AR39" s="40">
        <f t="shared" si="2"/>
        <v>0</v>
      </c>
      <c r="AS39" s="40">
        <f t="shared" si="2"/>
        <v>0</v>
      </c>
      <c r="AT39" s="40">
        <f t="shared" si="2"/>
        <v>0</v>
      </c>
      <c r="AU39" s="40">
        <f t="shared" si="2"/>
        <v>0</v>
      </c>
      <c r="AV39" s="40">
        <f t="shared" si="2"/>
        <v>0</v>
      </c>
      <c r="AW39" s="40">
        <f t="shared" si="2"/>
        <v>0</v>
      </c>
      <c r="AX39" s="40">
        <f t="shared" si="2"/>
        <v>0</v>
      </c>
      <c r="AY39" s="40">
        <f t="shared" si="2"/>
        <v>0</v>
      </c>
      <c r="AZ39" s="40">
        <f t="shared" si="2"/>
        <v>0</v>
      </c>
      <c r="BA39" s="40">
        <f t="shared" si="2"/>
        <v>0</v>
      </c>
      <c r="BB39" s="40">
        <f t="shared" si="2"/>
        <v>0</v>
      </c>
      <c r="BC39" s="40">
        <f t="shared" si="2"/>
        <v>0</v>
      </c>
      <c r="BD39" s="40">
        <f t="shared" si="2"/>
        <v>0</v>
      </c>
      <c r="BE39" s="40">
        <f t="shared" si="2"/>
        <v>0</v>
      </c>
      <c r="BF39" s="40">
        <f t="shared" si="2"/>
        <v>0</v>
      </c>
      <c r="BG39" s="40">
        <f t="shared" si="2"/>
        <v>0</v>
      </c>
      <c r="BH39" s="40">
        <f t="shared" si="2"/>
        <v>0</v>
      </c>
      <c r="BI39" s="40">
        <f t="shared" si="2"/>
        <v>0</v>
      </c>
      <c r="BJ39" s="40">
        <f t="shared" si="2"/>
        <v>0</v>
      </c>
      <c r="BK39" s="40">
        <f t="shared" si="2"/>
        <v>0</v>
      </c>
      <c r="BL39" s="40">
        <f t="shared" si="2"/>
        <v>0</v>
      </c>
      <c r="BM39" s="40">
        <f t="shared" si="2"/>
        <v>0</v>
      </c>
      <c r="BN39" s="40">
        <f t="shared" si="2"/>
        <v>0</v>
      </c>
      <c r="BO39" s="40">
        <f t="shared" si="2"/>
        <v>0</v>
      </c>
      <c r="BP39" s="40">
        <f t="shared" si="2"/>
        <v>0</v>
      </c>
      <c r="BQ39" s="40">
        <f t="shared" ref="BQ39:BR39" si="3">COUNTIF(BQ4:BQ38,"X")</f>
        <v>0</v>
      </c>
      <c r="BR39" s="40">
        <f t="shared" si="3"/>
        <v>0</v>
      </c>
    </row>
  </sheetData>
  <mergeCells count="1">
    <mergeCell ref="A39:D39"/>
  </mergeCells>
  <conditionalFormatting sqref="D4:D38">
    <cfRule type="cellIs" dxfId="2" priority="3" operator="equal">
      <formula>0</formula>
    </cfRule>
  </conditionalFormatting>
  <conditionalFormatting sqref="E4:BR38">
    <cfRule type="cellIs" dxfId="1" priority="2" operator="equal">
      <formula>"X"</formula>
    </cfRule>
  </conditionalFormatting>
  <conditionalFormatting sqref="E39:BR39">
    <cfRule type="cellIs" dxfId="0" priority="4" operator="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2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7" sqref="C7"/>
    </sheetView>
  </sheetViews>
  <sheetFormatPr baseColWidth="10" defaultColWidth="8.6640625" defaultRowHeight="13.2" x14ac:dyDescent="0.25"/>
  <cols>
    <col min="1" max="1" width="56" customWidth="1"/>
    <col min="2" max="2" width="14" customWidth="1"/>
    <col min="3" max="3" width="70" customWidth="1"/>
  </cols>
  <sheetData>
    <row r="2" spans="1:2" ht="14.25" customHeight="1" x14ac:dyDescent="0.3">
      <c r="A2" s="1" t="s">
        <v>613</v>
      </c>
    </row>
    <row r="3" spans="1:2" ht="14.25" customHeight="1" x14ac:dyDescent="0.3">
      <c r="A3" s="41" t="s">
        <v>614</v>
      </c>
    </row>
    <row r="4" spans="1:2" x14ac:dyDescent="0.25">
      <c r="A4" s="34" t="s">
        <v>53</v>
      </c>
      <c r="B4" s="33">
        <f>COUNTIF(Index_CT!F2:F36,A4)</f>
        <v>24</v>
      </c>
    </row>
    <row r="5" spans="1:2" x14ac:dyDescent="0.25">
      <c r="A5" s="34" t="s">
        <v>83</v>
      </c>
      <c r="B5" s="33">
        <f>COUNTIF(Index_CT!F2:F36,A5)</f>
        <v>8</v>
      </c>
    </row>
    <row r="6" spans="1:2" x14ac:dyDescent="0.25">
      <c r="A6" s="34" t="s">
        <v>184</v>
      </c>
      <c r="B6" s="33">
        <f>COUNTIF(Index_CT!F2:F36,A6)</f>
        <v>3</v>
      </c>
    </row>
    <row r="7" spans="1:2" x14ac:dyDescent="0.25">
      <c r="A7" s="42" t="s">
        <v>615</v>
      </c>
      <c r="B7" s="33">
        <f>SUM(B4:B6)</f>
        <v>35</v>
      </c>
    </row>
    <row r="9" spans="1:2" ht="14.25" customHeight="1" x14ac:dyDescent="0.3">
      <c r="A9" s="41" t="s">
        <v>616</v>
      </c>
    </row>
    <row r="10" spans="1:2" x14ac:dyDescent="0.25">
      <c r="A10" s="34" t="s">
        <v>185</v>
      </c>
      <c r="B10" s="33">
        <f>COUNTIF(Index_CT!G2:G36,A10)</f>
        <v>13</v>
      </c>
    </row>
    <row r="11" spans="1:2" x14ac:dyDescent="0.25">
      <c r="A11" s="34" t="s">
        <v>256</v>
      </c>
      <c r="B11" s="33">
        <f>COUNTIF(Index_CT!G2:G36,A11)</f>
        <v>6</v>
      </c>
    </row>
    <row r="12" spans="1:2" x14ac:dyDescent="0.25">
      <c r="A12" s="34" t="s">
        <v>54</v>
      </c>
      <c r="B12" s="33">
        <f>COUNTIF(Index_CT!G2:G36,A12)</f>
        <v>7</v>
      </c>
    </row>
    <row r="13" spans="1:2" x14ac:dyDescent="0.25">
      <c r="A13" s="34" t="s">
        <v>121</v>
      </c>
      <c r="B13" s="33">
        <f>COUNTIF(Index_CT!G2:G36,A13)</f>
        <v>6</v>
      </c>
    </row>
    <row r="14" spans="1:2" x14ac:dyDescent="0.25">
      <c r="A14" s="34" t="s">
        <v>84</v>
      </c>
      <c r="B14" s="33">
        <f>COUNTIF(Index_CT!G2:G36,A14)</f>
        <v>2</v>
      </c>
    </row>
    <row r="15" spans="1:2" x14ac:dyDescent="0.25">
      <c r="A15" s="34" t="s">
        <v>196</v>
      </c>
      <c r="B15" s="33">
        <f>COUNTIF(Index_CT!G2:G36,A15)</f>
        <v>1</v>
      </c>
    </row>
    <row r="16" spans="1:2" x14ac:dyDescent="0.25">
      <c r="A16" s="42" t="s">
        <v>615</v>
      </c>
      <c r="B16" s="33">
        <f>SUM(B10:B15)</f>
        <v>35</v>
      </c>
    </row>
    <row r="18" spans="1:2" ht="14.25" customHeight="1" x14ac:dyDescent="0.3">
      <c r="A18" s="41" t="s">
        <v>617</v>
      </c>
    </row>
    <row r="19" spans="1:2" x14ac:dyDescent="0.25">
      <c r="A19" s="34" t="s">
        <v>477</v>
      </c>
      <c r="B19" s="33">
        <f>COUNTIF(Index_CT!E2:E36,A19)</f>
        <v>13</v>
      </c>
    </row>
    <row r="20" spans="1:2" x14ac:dyDescent="0.25">
      <c r="A20" s="34" t="s">
        <v>502</v>
      </c>
      <c r="B20" s="33">
        <f>COUNTIF(Index_CT!E2:E36,A20)</f>
        <v>1</v>
      </c>
    </row>
    <row r="21" spans="1:2" x14ac:dyDescent="0.25">
      <c r="A21" s="34" t="s">
        <v>505</v>
      </c>
      <c r="B21" s="33">
        <f>COUNTIF(Index_CT!E2:E36,A21)</f>
        <v>21</v>
      </c>
    </row>
    <row r="22" spans="1:2" x14ac:dyDescent="0.25">
      <c r="A22" s="34" t="s">
        <v>533</v>
      </c>
      <c r="B22" s="33">
        <f>COUNTIF(Index_CT!E2:E36,A22)</f>
        <v>0</v>
      </c>
    </row>
    <row r="23" spans="1:2" x14ac:dyDescent="0.25">
      <c r="A23" s="34" t="s">
        <v>541</v>
      </c>
      <c r="B23" s="33">
        <f>COUNTIF(Index_CT!E2:E36,A23)</f>
        <v>0</v>
      </c>
    </row>
    <row r="24" spans="1:2" x14ac:dyDescent="0.25">
      <c r="A24" s="34" t="s">
        <v>551</v>
      </c>
      <c r="B24" s="33">
        <f>COUNTIF(Index_CT!E2:E36,A24)</f>
        <v>0</v>
      </c>
    </row>
    <row r="25" spans="1:2" x14ac:dyDescent="0.25">
      <c r="A25" s="42" t="s">
        <v>615</v>
      </c>
      <c r="B25" s="33">
        <f>SUM(B19:B24)</f>
        <v>35</v>
      </c>
    </row>
    <row r="27" spans="1:2" x14ac:dyDescent="0.25">
      <c r="A27" s="23" t="s">
        <v>618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Sheet1</vt:lpstr>
      <vt:lpstr>Sheet2</vt:lpstr>
      <vt:lpstr>Exigences</vt:lpstr>
      <vt:lpstr>Scénarios</vt:lpstr>
      <vt:lpstr>Index_CT</vt:lpstr>
      <vt:lpstr>Matrice_Traçabilité</vt:lpstr>
      <vt:lpstr>Couverture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 ABDELLAOUI JABER</dc:creator>
  <dc:description/>
  <cp:lastModifiedBy>Jaber</cp:lastModifiedBy>
  <cp:revision>0</cp:revision>
  <dcterms:created xsi:type="dcterms:W3CDTF">2026-10-15T12:21:53Z</dcterms:created>
  <dcterms:modified xsi:type="dcterms:W3CDTF">2026-10-21T00:36:22Z</dcterms:modified>
  <dc:language>en-US</dc:language>
</cp:coreProperties>
</file>